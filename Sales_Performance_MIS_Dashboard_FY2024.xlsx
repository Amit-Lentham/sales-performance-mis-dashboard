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MIT LENTHAM\Downloads\"/>
    </mc:Choice>
  </mc:AlternateContent>
  <xr:revisionPtr revIDLastSave="0" documentId="13_ncr:1_{E051B9B4-5A1E-4A49-AEE1-9BD9605E5124}" xr6:coauthVersionLast="47" xr6:coauthVersionMax="47" xr10:uidLastSave="{00000000-0000-0000-0000-000000000000}"/>
  <bookViews>
    <workbookView xWindow="-108" yWindow="-108" windowWidth="23256" windowHeight="12456" xr2:uid="{00000000-000D-0000-FFFF-FFFF00000000}"/>
  </bookViews>
  <sheets>
    <sheet name="Dashboard" sheetId="12" r:id="rId1"/>
    <sheet name="MIS_Report" sheetId="10" r:id="rId2"/>
    <sheet name="cleaned_data" sheetId="2" r:id="rId3"/>
    <sheet name="Region_Revenue" sheetId="5" r:id="rId4"/>
    <sheet name="Month_Trend" sheetId="6" r:id="rId5"/>
    <sheet name="Category_Revenue" sheetId="7" r:id="rId6"/>
    <sheet name="Salesperson_Performance" sheetId="8" r:id="rId7"/>
    <sheet name="Quarter_Summary" sheetId="9" r:id="rId8"/>
    <sheet name="Order_LOOKUP_Tool" sheetId="11" r:id="rId9"/>
    <sheet name="Raw_Data" sheetId="13" r:id="rId10"/>
  </sheets>
  <definedNames>
    <definedName name="_xlnm._FilterDatabase" localSheetId="2" hidden="1">cleaned_data!$A$1:$J$301</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12" l="1"/>
  <c r="E4" i="12"/>
  <c r="D25" i="10"/>
  <c r="C25" i="10"/>
  <c r="E30" i="10"/>
  <c r="E31" i="10"/>
  <c r="E32" i="10"/>
  <c r="E33" i="10"/>
  <c r="E34" i="10"/>
  <c r="E14" i="10"/>
  <c r="E15" i="10"/>
  <c r="E16" i="10"/>
  <c r="E17" i="10"/>
  <c r="E18" i="10"/>
  <c r="E19" i="10"/>
  <c r="E20" i="10"/>
  <c r="E21" i="10"/>
  <c r="E22" i="10"/>
  <c r="E23" i="10"/>
  <c r="E24" i="10"/>
  <c r="B30" i="10"/>
  <c r="B31" i="10"/>
  <c r="B32" i="10"/>
  <c r="B33" i="10"/>
  <c r="B29" i="10"/>
  <c r="K3" i="2"/>
  <c r="B19" i="10" s="1"/>
  <c r="B14" i="10"/>
  <c r="B15" i="10"/>
  <c r="B16" i="10"/>
  <c r="B17" i="10"/>
  <c r="B18" i="10"/>
  <c r="B20" i="10"/>
  <c r="B21" i="10"/>
  <c r="B22" i="10"/>
  <c r="B23" i="10"/>
  <c r="B24" i="10"/>
  <c r="B13" i="10"/>
  <c r="L3" i="2"/>
  <c r="L4" i="2"/>
  <c r="L5" i="2"/>
  <c r="L6" i="2"/>
  <c r="L7" i="2"/>
  <c r="L8" i="2"/>
  <c r="L9" i="2"/>
  <c r="M9" i="2" s="1"/>
  <c r="L10" i="2"/>
  <c r="M10" i="2" s="1"/>
  <c r="L11" i="2"/>
  <c r="L12" i="2"/>
  <c r="L13" i="2"/>
  <c r="L14" i="2"/>
  <c r="M14" i="2" s="1"/>
  <c r="L15" i="2"/>
  <c r="L16" i="2"/>
  <c r="L17" i="2"/>
  <c r="M17" i="2" s="1"/>
  <c r="L18" i="2"/>
  <c r="M18" i="2" s="1"/>
  <c r="L19" i="2"/>
  <c r="L20" i="2"/>
  <c r="L21" i="2"/>
  <c r="L22" i="2"/>
  <c r="L23" i="2"/>
  <c r="L24" i="2"/>
  <c r="M24" i="2" s="1"/>
  <c r="L25" i="2"/>
  <c r="L26" i="2"/>
  <c r="M26" i="2" s="1"/>
  <c r="L27" i="2"/>
  <c r="L28" i="2"/>
  <c r="L29" i="2"/>
  <c r="L30" i="2"/>
  <c r="L31" i="2"/>
  <c r="L32" i="2"/>
  <c r="L33" i="2"/>
  <c r="M33" i="2" s="1"/>
  <c r="L34" i="2"/>
  <c r="M34" i="2" s="1"/>
  <c r="L35" i="2"/>
  <c r="L36" i="2"/>
  <c r="L37" i="2"/>
  <c r="L38" i="2"/>
  <c r="L39" i="2"/>
  <c r="L40" i="2"/>
  <c r="L41" i="2"/>
  <c r="M41" i="2" s="1"/>
  <c r="L42" i="2"/>
  <c r="M42" i="2" s="1"/>
  <c r="L43" i="2"/>
  <c r="L44" i="2"/>
  <c r="L45" i="2"/>
  <c r="L46" i="2"/>
  <c r="M46" i="2" s="1"/>
  <c r="L47" i="2"/>
  <c r="L48" i="2"/>
  <c r="L49" i="2"/>
  <c r="M49" i="2" s="1"/>
  <c r="L50" i="2"/>
  <c r="M50" i="2" s="1"/>
  <c r="L51" i="2"/>
  <c r="L52" i="2"/>
  <c r="L53" i="2"/>
  <c r="L54" i="2"/>
  <c r="L55" i="2"/>
  <c r="L56" i="2"/>
  <c r="M56" i="2" s="1"/>
  <c r="L57" i="2"/>
  <c r="L58" i="2"/>
  <c r="M58" i="2" s="1"/>
  <c r="L59" i="2"/>
  <c r="L60" i="2"/>
  <c r="L61" i="2"/>
  <c r="L62" i="2"/>
  <c r="L63" i="2"/>
  <c r="L64" i="2"/>
  <c r="M64" i="2" s="1"/>
  <c r="L65" i="2"/>
  <c r="M65" i="2" s="1"/>
  <c r="L66" i="2"/>
  <c r="M66" i="2" s="1"/>
  <c r="L67" i="2"/>
  <c r="L68" i="2"/>
  <c r="L69" i="2"/>
  <c r="L70" i="2"/>
  <c r="L71" i="2"/>
  <c r="L72" i="2"/>
  <c r="L73" i="2"/>
  <c r="M73" i="2" s="1"/>
  <c r="L74" i="2"/>
  <c r="M74" i="2" s="1"/>
  <c r="L75" i="2"/>
  <c r="L76" i="2"/>
  <c r="L77" i="2"/>
  <c r="L78" i="2"/>
  <c r="M78" i="2" s="1"/>
  <c r="L79" i="2"/>
  <c r="L80" i="2"/>
  <c r="L81" i="2"/>
  <c r="M81" i="2" s="1"/>
  <c r="L82" i="2"/>
  <c r="M82" i="2" s="1"/>
  <c r="L83" i="2"/>
  <c r="L84" i="2"/>
  <c r="L85" i="2"/>
  <c r="L86" i="2"/>
  <c r="L87" i="2"/>
  <c r="L88" i="2"/>
  <c r="M88" i="2" s="1"/>
  <c r="L89" i="2"/>
  <c r="L90" i="2"/>
  <c r="M90" i="2" s="1"/>
  <c r="L91" i="2"/>
  <c r="L92" i="2"/>
  <c r="L93" i="2"/>
  <c r="L94" i="2"/>
  <c r="L95" i="2"/>
  <c r="L96" i="2"/>
  <c r="M96" i="2" s="1"/>
  <c r="L97" i="2"/>
  <c r="M97" i="2" s="1"/>
  <c r="L98" i="2"/>
  <c r="M98" i="2" s="1"/>
  <c r="L99" i="2"/>
  <c r="L100" i="2"/>
  <c r="L101" i="2"/>
  <c r="L102" i="2"/>
  <c r="L103" i="2"/>
  <c r="L104" i="2"/>
  <c r="L105" i="2"/>
  <c r="M105" i="2" s="1"/>
  <c r="L106" i="2"/>
  <c r="M106" i="2" s="1"/>
  <c r="L107" i="2"/>
  <c r="L108" i="2"/>
  <c r="L109" i="2"/>
  <c r="L110" i="2"/>
  <c r="M110" i="2" s="1"/>
  <c r="L111" i="2"/>
  <c r="L112" i="2"/>
  <c r="L113" i="2"/>
  <c r="M113" i="2" s="1"/>
  <c r="L114" i="2"/>
  <c r="M114" i="2" s="1"/>
  <c r="L115" i="2"/>
  <c r="L116" i="2"/>
  <c r="L117" i="2"/>
  <c r="L118" i="2"/>
  <c r="L119" i="2"/>
  <c r="L120" i="2"/>
  <c r="M120" i="2" s="1"/>
  <c r="L121" i="2"/>
  <c r="L122" i="2"/>
  <c r="M122" i="2" s="1"/>
  <c r="L123" i="2"/>
  <c r="L124" i="2"/>
  <c r="L125" i="2"/>
  <c r="L126" i="2"/>
  <c r="L127" i="2"/>
  <c r="L128" i="2"/>
  <c r="M128" i="2" s="1"/>
  <c r="L129" i="2"/>
  <c r="M129" i="2" s="1"/>
  <c r="L130" i="2"/>
  <c r="M130" i="2" s="1"/>
  <c r="L131" i="2"/>
  <c r="L132" i="2"/>
  <c r="L133" i="2"/>
  <c r="L134" i="2"/>
  <c r="L135" i="2"/>
  <c r="L136" i="2"/>
  <c r="L137" i="2"/>
  <c r="M137" i="2" s="1"/>
  <c r="L138" i="2"/>
  <c r="M138" i="2" s="1"/>
  <c r="L139" i="2"/>
  <c r="L140" i="2"/>
  <c r="L141" i="2"/>
  <c r="L142" i="2"/>
  <c r="M142" i="2" s="1"/>
  <c r="L143" i="2"/>
  <c r="L144" i="2"/>
  <c r="L145" i="2"/>
  <c r="M145" i="2" s="1"/>
  <c r="L146" i="2"/>
  <c r="M146" i="2" s="1"/>
  <c r="L147" i="2"/>
  <c r="L148" i="2"/>
  <c r="L149" i="2"/>
  <c r="L150" i="2"/>
  <c r="L151" i="2"/>
  <c r="L152" i="2"/>
  <c r="M152" i="2" s="1"/>
  <c r="L153" i="2"/>
  <c r="L154" i="2"/>
  <c r="M154" i="2" s="1"/>
  <c r="L155" i="2"/>
  <c r="L156" i="2"/>
  <c r="L157" i="2"/>
  <c r="L158" i="2"/>
  <c r="L159" i="2"/>
  <c r="L160" i="2"/>
  <c r="M160" i="2" s="1"/>
  <c r="L161" i="2"/>
  <c r="M161" i="2" s="1"/>
  <c r="L162" i="2"/>
  <c r="M162" i="2" s="1"/>
  <c r="L163" i="2"/>
  <c r="L164" i="2"/>
  <c r="L165" i="2"/>
  <c r="L166" i="2"/>
  <c r="L167" i="2"/>
  <c r="L168" i="2"/>
  <c r="L169" i="2"/>
  <c r="M169" i="2" s="1"/>
  <c r="L170" i="2"/>
  <c r="M170" i="2" s="1"/>
  <c r="L171" i="2"/>
  <c r="L172" i="2"/>
  <c r="L173" i="2"/>
  <c r="L174" i="2"/>
  <c r="M174" i="2" s="1"/>
  <c r="L175" i="2"/>
  <c r="L176" i="2"/>
  <c r="L177" i="2"/>
  <c r="M177" i="2" s="1"/>
  <c r="L178" i="2"/>
  <c r="M178" i="2" s="1"/>
  <c r="L179" i="2"/>
  <c r="L180" i="2"/>
  <c r="L181" i="2"/>
  <c r="L182" i="2"/>
  <c r="L183" i="2"/>
  <c r="L184" i="2"/>
  <c r="M184" i="2" s="1"/>
  <c r="L185" i="2"/>
  <c r="L186" i="2"/>
  <c r="M186" i="2" s="1"/>
  <c r="L187" i="2"/>
  <c r="L188" i="2"/>
  <c r="L189" i="2"/>
  <c r="L190" i="2"/>
  <c r="L191" i="2"/>
  <c r="L192" i="2"/>
  <c r="M192" i="2" s="1"/>
  <c r="L193" i="2"/>
  <c r="M193" i="2" s="1"/>
  <c r="L194" i="2"/>
  <c r="M194" i="2" s="1"/>
  <c r="L195" i="2"/>
  <c r="L196" i="2"/>
  <c r="L197" i="2"/>
  <c r="L198" i="2"/>
  <c r="L199" i="2"/>
  <c r="L200" i="2"/>
  <c r="L201" i="2"/>
  <c r="M201" i="2" s="1"/>
  <c r="L202" i="2"/>
  <c r="M202" i="2" s="1"/>
  <c r="L203" i="2"/>
  <c r="L204" i="2"/>
  <c r="L205" i="2"/>
  <c r="L206" i="2"/>
  <c r="M206" i="2" s="1"/>
  <c r="L207" i="2"/>
  <c r="L208" i="2"/>
  <c r="L209" i="2"/>
  <c r="M209" i="2" s="1"/>
  <c r="L210" i="2"/>
  <c r="M210" i="2" s="1"/>
  <c r="L211" i="2"/>
  <c r="L212" i="2"/>
  <c r="L213" i="2"/>
  <c r="L214" i="2"/>
  <c r="L215" i="2"/>
  <c r="L216" i="2"/>
  <c r="M216" i="2" s="1"/>
  <c r="L217" i="2"/>
  <c r="L218" i="2"/>
  <c r="M218" i="2" s="1"/>
  <c r="L219" i="2"/>
  <c r="L220" i="2"/>
  <c r="L221" i="2"/>
  <c r="L222" i="2"/>
  <c r="L223" i="2"/>
  <c r="L224" i="2"/>
  <c r="M224" i="2" s="1"/>
  <c r="L225" i="2"/>
  <c r="M225" i="2" s="1"/>
  <c r="L226" i="2"/>
  <c r="M226" i="2" s="1"/>
  <c r="L227" i="2"/>
  <c r="L228" i="2"/>
  <c r="L229" i="2"/>
  <c r="L230" i="2"/>
  <c r="L231" i="2"/>
  <c r="L232" i="2"/>
  <c r="L233" i="2"/>
  <c r="M233" i="2" s="1"/>
  <c r="L234" i="2"/>
  <c r="M234" i="2" s="1"/>
  <c r="L235" i="2"/>
  <c r="L236" i="2"/>
  <c r="L237" i="2"/>
  <c r="L238" i="2"/>
  <c r="M238" i="2" s="1"/>
  <c r="L239" i="2"/>
  <c r="M239" i="2" s="1"/>
  <c r="L240" i="2"/>
  <c r="L241" i="2"/>
  <c r="M241" i="2" s="1"/>
  <c r="L242" i="2"/>
  <c r="M242" i="2" s="1"/>
  <c r="L243" i="2"/>
  <c r="L244" i="2"/>
  <c r="L245" i="2"/>
  <c r="L246" i="2"/>
  <c r="L247" i="2"/>
  <c r="M247" i="2" s="1"/>
  <c r="L248" i="2"/>
  <c r="M248" i="2" s="1"/>
  <c r="L249" i="2"/>
  <c r="L250" i="2"/>
  <c r="M250" i="2" s="1"/>
  <c r="L251" i="2"/>
  <c r="L252" i="2"/>
  <c r="L253" i="2"/>
  <c r="L254" i="2"/>
  <c r="L255" i="2"/>
  <c r="L256" i="2"/>
  <c r="M256" i="2" s="1"/>
  <c r="L257" i="2"/>
  <c r="M257" i="2" s="1"/>
  <c r="L258" i="2"/>
  <c r="M258" i="2" s="1"/>
  <c r="L259" i="2"/>
  <c r="L260" i="2"/>
  <c r="L261" i="2"/>
  <c r="L262" i="2"/>
  <c r="L263" i="2"/>
  <c r="L264" i="2"/>
  <c r="L265" i="2"/>
  <c r="M265" i="2" s="1"/>
  <c r="L266" i="2"/>
  <c r="M266" i="2" s="1"/>
  <c r="L267" i="2"/>
  <c r="L268" i="2"/>
  <c r="L269" i="2"/>
  <c r="L270" i="2"/>
  <c r="M270" i="2" s="1"/>
  <c r="L271" i="2"/>
  <c r="M271" i="2" s="1"/>
  <c r="L272" i="2"/>
  <c r="L273" i="2"/>
  <c r="M273" i="2" s="1"/>
  <c r="L274" i="2"/>
  <c r="M274" i="2" s="1"/>
  <c r="L275" i="2"/>
  <c r="L276" i="2"/>
  <c r="L277" i="2"/>
  <c r="L278" i="2"/>
  <c r="L279" i="2"/>
  <c r="M279" i="2" s="1"/>
  <c r="L280" i="2"/>
  <c r="M280" i="2" s="1"/>
  <c r="L281" i="2"/>
  <c r="L282" i="2"/>
  <c r="M282" i="2" s="1"/>
  <c r="L283" i="2"/>
  <c r="L284" i="2"/>
  <c r="L285" i="2"/>
  <c r="L286" i="2"/>
  <c r="L287" i="2"/>
  <c r="L288" i="2"/>
  <c r="M288" i="2" s="1"/>
  <c r="L289" i="2"/>
  <c r="M289" i="2" s="1"/>
  <c r="L290" i="2"/>
  <c r="M290" i="2" s="1"/>
  <c r="L291" i="2"/>
  <c r="L292" i="2"/>
  <c r="L293" i="2"/>
  <c r="L294" i="2"/>
  <c r="M294" i="2" s="1"/>
  <c r="L295" i="2"/>
  <c r="L296" i="2"/>
  <c r="L297" i="2"/>
  <c r="M297" i="2" s="1"/>
  <c r="L298" i="2"/>
  <c r="M298" i="2" s="1"/>
  <c r="L299" i="2"/>
  <c r="L300" i="2"/>
  <c r="L301" i="2"/>
  <c r="M25" i="2"/>
  <c r="M57" i="2"/>
  <c r="M89" i="2"/>
  <c r="M121" i="2"/>
  <c r="M153" i="2"/>
  <c r="M185" i="2"/>
  <c r="M217" i="2"/>
  <c r="M249" i="2"/>
  <c r="M281" i="2"/>
  <c r="M293" i="2"/>
  <c r="M301" i="2"/>
  <c r="L2"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2" i="2"/>
  <c r="B3" i="12"/>
  <c r="E3" i="12"/>
  <c r="H3" i="12"/>
  <c r="K3" i="12"/>
  <c r="C4" i="11"/>
  <c r="D4" i="11"/>
  <c r="B4" i="11"/>
  <c r="D30" i="10"/>
  <c r="D31" i="10"/>
  <c r="D32" i="10"/>
  <c r="D33" i="10"/>
  <c r="D29" i="10"/>
  <c r="C30" i="10"/>
  <c r="C31" i="10"/>
  <c r="C32" i="10"/>
  <c r="C33" i="10"/>
  <c r="C29" i="10"/>
  <c r="B8" i="10"/>
  <c r="H4" i="12" s="1"/>
  <c r="B7" i="10"/>
  <c r="M300" i="2"/>
  <c r="M299" i="2"/>
  <c r="M296" i="2"/>
  <c r="M295" i="2"/>
  <c r="M292" i="2"/>
  <c r="M291" i="2"/>
  <c r="M287" i="2"/>
  <c r="M286" i="2"/>
  <c r="M285" i="2"/>
  <c r="M284" i="2"/>
  <c r="M283" i="2"/>
  <c r="M278" i="2"/>
  <c r="M277" i="2"/>
  <c r="M276" i="2"/>
  <c r="M275" i="2"/>
  <c r="M272" i="2"/>
  <c r="M269" i="2"/>
  <c r="M268" i="2"/>
  <c r="M267" i="2"/>
  <c r="M264" i="2"/>
  <c r="M263" i="2"/>
  <c r="M262" i="2"/>
  <c r="M261" i="2"/>
  <c r="M260" i="2"/>
  <c r="M259" i="2"/>
  <c r="M255" i="2"/>
  <c r="M254" i="2"/>
  <c r="M253" i="2"/>
  <c r="M252" i="2"/>
  <c r="M251" i="2"/>
  <c r="M246" i="2"/>
  <c r="M245" i="2"/>
  <c r="M244" i="2"/>
  <c r="M243" i="2"/>
  <c r="M240" i="2"/>
  <c r="M237" i="2"/>
  <c r="M236" i="2"/>
  <c r="M235" i="2"/>
  <c r="M232" i="2"/>
  <c r="M231" i="2"/>
  <c r="M230" i="2"/>
  <c r="M229" i="2"/>
  <c r="M228" i="2"/>
  <c r="M227" i="2"/>
  <c r="M223" i="2"/>
  <c r="M222" i="2"/>
  <c r="M221" i="2"/>
  <c r="M220" i="2"/>
  <c r="M219" i="2"/>
  <c r="M215" i="2"/>
  <c r="M214" i="2"/>
  <c r="M213" i="2"/>
  <c r="M212" i="2"/>
  <c r="M211" i="2"/>
  <c r="M208" i="2"/>
  <c r="M207" i="2"/>
  <c r="M205" i="2"/>
  <c r="M204" i="2"/>
  <c r="M203" i="2"/>
  <c r="M200" i="2"/>
  <c r="M199" i="2"/>
  <c r="M198" i="2"/>
  <c r="M197" i="2"/>
  <c r="M196" i="2"/>
  <c r="M195" i="2"/>
  <c r="M191" i="2"/>
  <c r="M190" i="2"/>
  <c r="M189" i="2"/>
  <c r="M188" i="2"/>
  <c r="M187" i="2"/>
  <c r="M183" i="2"/>
  <c r="M182" i="2"/>
  <c r="M181" i="2"/>
  <c r="M180" i="2"/>
  <c r="M179" i="2"/>
  <c r="M176" i="2"/>
  <c r="M175" i="2"/>
  <c r="M173" i="2"/>
  <c r="M172" i="2"/>
  <c r="M171" i="2"/>
  <c r="M168" i="2"/>
  <c r="M167" i="2"/>
  <c r="M166" i="2"/>
  <c r="M165" i="2"/>
  <c r="M164" i="2"/>
  <c r="M163" i="2"/>
  <c r="M159" i="2"/>
  <c r="M158" i="2"/>
  <c r="M157" i="2"/>
  <c r="M156" i="2"/>
  <c r="M155" i="2"/>
  <c r="M151" i="2"/>
  <c r="M150" i="2"/>
  <c r="M149" i="2"/>
  <c r="M148" i="2"/>
  <c r="M147" i="2"/>
  <c r="M144" i="2"/>
  <c r="M143" i="2"/>
  <c r="M141" i="2"/>
  <c r="M140" i="2"/>
  <c r="M139" i="2"/>
  <c r="M136" i="2"/>
  <c r="M135" i="2"/>
  <c r="M134" i="2"/>
  <c r="M133" i="2"/>
  <c r="M132" i="2"/>
  <c r="M131" i="2"/>
  <c r="M127" i="2"/>
  <c r="M126" i="2"/>
  <c r="M125" i="2"/>
  <c r="M124" i="2"/>
  <c r="M123" i="2"/>
  <c r="M119" i="2"/>
  <c r="M118" i="2"/>
  <c r="M117" i="2"/>
  <c r="M116" i="2"/>
  <c r="M115" i="2"/>
  <c r="M112" i="2"/>
  <c r="M111" i="2"/>
  <c r="M109" i="2"/>
  <c r="M108" i="2"/>
  <c r="M107" i="2"/>
  <c r="M104" i="2"/>
  <c r="M103" i="2"/>
  <c r="M102" i="2"/>
  <c r="M101" i="2"/>
  <c r="M100" i="2"/>
  <c r="M99" i="2"/>
  <c r="M95" i="2"/>
  <c r="M94" i="2"/>
  <c r="M93" i="2"/>
  <c r="M92" i="2"/>
  <c r="M91" i="2"/>
  <c r="M87" i="2"/>
  <c r="M86" i="2"/>
  <c r="M85" i="2"/>
  <c r="M84" i="2"/>
  <c r="M83" i="2"/>
  <c r="M80" i="2"/>
  <c r="M79" i="2"/>
  <c r="M77" i="2"/>
  <c r="M76" i="2"/>
  <c r="M75" i="2"/>
  <c r="M72" i="2"/>
  <c r="M71" i="2"/>
  <c r="M70" i="2"/>
  <c r="M69" i="2"/>
  <c r="M68" i="2"/>
  <c r="M67" i="2"/>
  <c r="M63" i="2"/>
  <c r="M62" i="2"/>
  <c r="M61" i="2"/>
  <c r="M60" i="2"/>
  <c r="M59" i="2"/>
  <c r="M55" i="2"/>
  <c r="M54" i="2"/>
  <c r="M53" i="2"/>
  <c r="M52" i="2"/>
  <c r="M51" i="2"/>
  <c r="M48" i="2"/>
  <c r="M47" i="2"/>
  <c r="M45" i="2"/>
  <c r="M44" i="2"/>
  <c r="M43" i="2"/>
  <c r="M40" i="2"/>
  <c r="M39" i="2"/>
  <c r="M38" i="2"/>
  <c r="M37" i="2"/>
  <c r="M36" i="2"/>
  <c r="M35" i="2"/>
  <c r="M32" i="2"/>
  <c r="M31" i="2"/>
  <c r="M30" i="2"/>
  <c r="M29" i="2"/>
  <c r="M28" i="2"/>
  <c r="M27" i="2"/>
  <c r="M23" i="2"/>
  <c r="M22" i="2"/>
  <c r="M21" i="2"/>
  <c r="M20" i="2"/>
  <c r="M19" i="2"/>
  <c r="M16" i="2"/>
  <c r="M15" i="2"/>
  <c r="M13" i="2"/>
  <c r="M12" i="2"/>
  <c r="M11" i="2"/>
  <c r="M8" i="2"/>
  <c r="M7" i="2"/>
  <c r="M6" i="2"/>
  <c r="M5" i="2"/>
  <c r="M4" i="2"/>
  <c r="M3" i="2"/>
  <c r="B6" i="10" l="1"/>
  <c r="D24" i="10"/>
  <c r="M2" i="2"/>
  <c r="C13" i="10"/>
  <c r="C21" i="10"/>
  <c r="D13" i="10"/>
  <c r="D17" i="10"/>
  <c r="D21" i="10"/>
  <c r="C18" i="10"/>
  <c r="D18" i="10"/>
  <c r="C15" i="10"/>
  <c r="C23" i="10"/>
  <c r="D15" i="10"/>
  <c r="D19" i="10"/>
  <c r="D23" i="10"/>
  <c r="D16" i="10"/>
  <c r="D20" i="10"/>
  <c r="C17" i="10"/>
  <c r="C14" i="10"/>
  <c r="C22" i="10"/>
  <c r="D14" i="10"/>
  <c r="D22" i="10"/>
  <c r="C19" i="10"/>
  <c r="C16" i="10"/>
  <c r="C20" i="10"/>
  <c r="C24" i="10"/>
  <c r="B34" i="10"/>
  <c r="D34" i="10"/>
  <c r="C34" i="10"/>
  <c r="B9" i="10"/>
  <c r="K4" i="12" s="1"/>
  <c r="E29" i="10"/>
  <c r="E4" i="11"/>
  <c r="E13" i="10" l="1"/>
  <c r="B25" i="10"/>
</calcChain>
</file>

<file path=xl/sharedStrings.xml><?xml version="1.0" encoding="utf-8"?>
<sst xmlns="http://schemas.openxmlformats.org/spreadsheetml/2006/main" count="4609" uniqueCount="662">
  <si>
    <t>Order_ID</t>
  </si>
  <si>
    <t>Order_Date</t>
  </si>
  <si>
    <t>Region</t>
  </si>
  <si>
    <t>City</t>
  </si>
  <si>
    <t>Salesman</t>
  </si>
  <si>
    <t>Category</t>
  </si>
  <si>
    <t>Sub_Category</t>
  </si>
  <si>
    <t>Product</t>
  </si>
  <si>
    <t>Units_Sold</t>
  </si>
  <si>
    <t>Unit_Price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</si>
  <si>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</si>
  <si>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</si>
  <si>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</si>
  <si>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</si>
  <si>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</si>
  <si>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</si>
  <si>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</si>
  <si>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</si>
  <si>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</si>
  <si>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</si>
  <si>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</si>
  <si>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</si>
  <si>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</si>
  <si>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</si>
  <si>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</si>
  <si>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</si>
  <si>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</si>
  <si>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</si>
  <si>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</si>
  <si>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</si>
  <si>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</si>
  <si>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</si>
  <si>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</si>
  <si>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</si>
  <si>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</si>
  <si>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</si>
  <si>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</si>
  <si>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</si>
  <si>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</si>
  <si>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</si>
  <si>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</si>
  <si>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</si>
  <si>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</si>
  <si>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</si>
  <si>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</si>
  <si>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</si>
  <si>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</si>
  <si>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</si>
  <si>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</si>
  <si>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</si>
  <si>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</si>
  <si>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</si>
  <si>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</si>
  <si>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</si>
  <si>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</si>
  <si>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</si>
  <si>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</si>
  <si>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</si>
  <si>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</si>
  <si>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</si>
  <si>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</si>
  <si>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</si>
  <si>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</si>
  <si>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</si>
  <si>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</si>
  <si>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</si>
  <si>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</si>
  <si>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</si>
  <si>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</si>
  <si>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</si>
  <si>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</si>
  <si>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</si>
  <si>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</si>
  <si>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</si>
  <si>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</si>
  <si>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</si>
  <si>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</si>
  <si>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</si>
  <si>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</si>
  <si>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</si>
  <si>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</si>
  <si>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</si>
  <si>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</si>
  <si>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</si>
  <si>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</si>
  <si>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</si>
  <si>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</si>
  <si>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</si>
  <si>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</si>
  <si>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</si>
  <si>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</si>
  <si>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</si>
  <si>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</si>
  <si>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</si>
  <si>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</si>
  <si>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</si>
  <si>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</si>
  <si>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</si>
  <si>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</si>
  <si>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</si>
  <si>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</si>
  <si>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</si>
  <si>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</si>
  <si>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</si>
  <si>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</si>
  <si>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</si>
  <si>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</si>
  <si>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</si>
  <si>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</si>
  <si>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</si>
  <si>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</si>
  <si>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</si>
  <si>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</si>
  <si>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</si>
  <si>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</si>
  <si>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</si>
  <si>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</si>
  <si>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</si>
  <si>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</si>
  <si>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</si>
  <si>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</si>
  <si>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</si>
  <si>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</si>
  <si>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</si>
  <si>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</si>
  <si>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</si>
  <si>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</si>
  <si>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</si>
  <si>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</si>
  <si>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</si>
  <si>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</si>
  <si>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</si>
  <si>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</si>
  <si>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</si>
  <si>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</si>
  <si>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</si>
  <si>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</si>
  <si>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</si>
  <si>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</si>
  <si>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</si>
  <si>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</si>
  <si>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</si>
  <si>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</si>
  <si>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</si>
  <si>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</si>
  <si>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</si>
  <si>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</si>
  <si>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</si>
  <si>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</si>
  <si>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</si>
  <si>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</si>
  <si>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</si>
  <si>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</si>
  <si>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</si>
  <si>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</si>
  <si>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</si>
  <si>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</si>
  <si>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</si>
  <si>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</si>
  <si>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</si>
  <si>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</si>
  <si>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</si>
  <si>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</si>
  <si>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</si>
  <si>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</si>
  <si>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</si>
  <si>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</si>
  <si>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</si>
  <si>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</si>
  <si>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</si>
  <si>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</si>
  <si>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</si>
  <si>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</si>
  <si>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</si>
  <si>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</si>
  <si>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</si>
  <si>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</si>
  <si>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</si>
  <si>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</si>
  <si>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</si>
  <si>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</si>
  <si>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</si>
  <si>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</si>
  <si>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</si>
  <si>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</si>
  <si>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</si>
  <si>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</si>
  <si>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</si>
  <si>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</si>
  <si>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</si>
  <si>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</si>
  <si>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</si>
  <si>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</si>
  <si>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</si>
  <si>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</si>
  <si>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</si>
  <si>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</si>
  <si>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</si>
  <si>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</si>
  <si>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</si>
  <si>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</si>
  <si>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</si>
  <si>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</si>
  <si>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</si>
  <si>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</si>
  <si>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</si>
  <si>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</si>
  <si>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</si>
  <si>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</si>
  <si>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</si>
  <si>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</si>
  <si>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</si>
  <si>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</si>
  <si>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</si>
  <si>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</si>
  <si>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</si>
  <si>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</si>
  <si>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</si>
  <si>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</si>
  <si>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</si>
  <si>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</si>
  <si>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</si>
  <si>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</si>
  <si>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</si>
  <si>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</si>
  <si>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</si>
  <si>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</si>
  <si>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</si>
  <si>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</si>
  <si>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</si>
  <si>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</si>
  <si>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</si>
  <si>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</si>
  <si>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</si>
  <si>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</si>
  <si>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</si>
  <si>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</si>
  <si>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</si>
  <si>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</si>
  <si>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</si>
  <si>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</si>
  <si>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</si>
  <si>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</si>
  <si>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</si>
  <si>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</si>
  <si>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</si>
  <si>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</si>
  <si>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</si>
  <si>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</si>
  <si>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</si>
  <si>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</si>
  <si>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</si>
  <si>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</si>
  <si>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</si>
  <si>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</si>
  <si>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</si>
  <si>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</si>
  <si>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</si>
  <si>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</si>
  <si>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</si>
  <si>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</si>
  <si>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</si>
  <si>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</si>
  <si>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</si>
  <si>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</si>
  <si>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</si>
  <si>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</si>
  <si>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</si>
  <si>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</si>
  <si>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</si>
  <si>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</si>
  <si>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</si>
  <si>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</si>
  <si>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</si>
  <si>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</si>
  <si>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</si>
  <si>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</si>
  <si>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</si>
  <si>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</si>
  <si>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</si>
  <si>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</si>
  <si>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</si>
  <si>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</si>
  <si>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</si>
  <si>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</si>
  <si>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</si>
  <si>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</si>
  <si>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</si>
  <si>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</si>
  <si>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</si>
  <si>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</si>
  <si>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</si>
  <si>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</si>
  <si>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</si>
  <si>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</si>
  <si>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</si>
  <si>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</si>
  <si>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</si>
  <si>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</si>
  <si>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</si>
  <si>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</si>
  <si>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</si>
  <si>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</si>
  <si>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</si>
  <si>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</si>
  <si>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</si>
  <si>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</si>
  <si>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</si>
  <si>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</si>
  <si>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</si>
  <si>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South</t>
  </si>
  <si>
    <t>East</t>
  </si>
  <si>
    <t>North</t>
  </si>
  <si>
    <t>West</t>
  </si>
  <si>
    <t>Hyderabad</t>
  </si>
  <si>
    <t>Kolkata</t>
  </si>
  <si>
    <t>Bhubaneswar</t>
  </si>
  <si>
    <t>Jaipur</t>
  </si>
  <si>
    <t>Patna</t>
  </si>
  <si>
    <t>Ahmedabad</t>
  </si>
  <si>
    <t>Chennai</t>
  </si>
  <si>
    <t>Delhi</t>
  </si>
  <si>
    <t>Bangalore</t>
  </si>
  <si>
    <t>Mumbai</t>
  </si>
  <si>
    <t>Pune</t>
  </si>
  <si>
    <t>Chandigarh</t>
  </si>
  <si>
    <t>Priya Mehta</t>
  </si>
  <si>
    <t>Rahul Sharma</t>
  </si>
  <si>
    <t>Karan Singh</t>
  </si>
  <si>
    <t>Neha Gupta</t>
  </si>
  <si>
    <t>Amit Verma</t>
  </si>
  <si>
    <t>Electronics</t>
  </si>
  <si>
    <t>Office Supplies</t>
  </si>
  <si>
    <t>Furniture</t>
  </si>
  <si>
    <t>Mobile</t>
  </si>
  <si>
    <t>Pen</t>
  </si>
  <si>
    <t>Stapler</t>
  </si>
  <si>
    <t>Cabinet</t>
  </si>
  <si>
    <t>Table</t>
  </si>
  <si>
    <t>Laptop</t>
  </si>
  <si>
    <t>Notebook</t>
  </si>
  <si>
    <t>Printer</t>
  </si>
  <si>
    <t>Chair</t>
  </si>
  <si>
    <t>iPhone</t>
  </si>
  <si>
    <t>Gel Pen</t>
  </si>
  <si>
    <t>Ball Pen</t>
  </si>
  <si>
    <t>Small Stapler</t>
  </si>
  <si>
    <t>Wood Cabinet</t>
  </si>
  <si>
    <t>Office Desk</t>
  </si>
  <si>
    <t>Lenovo Laptop</t>
  </si>
  <si>
    <t>Classmate Notebook</t>
  </si>
  <si>
    <t>Canon Printer</t>
  </si>
  <si>
    <t>Office Chair</t>
  </si>
  <si>
    <t>Samsung Phone</t>
  </si>
  <si>
    <t>Study Table</t>
  </si>
  <si>
    <t>Plastic Chair</t>
  </si>
  <si>
    <t>Dell Laptop</t>
  </si>
  <si>
    <t>Hp Laptop</t>
  </si>
  <si>
    <t>Hp Printer</t>
  </si>
  <si>
    <t>Oneplus Phone</t>
  </si>
  <si>
    <t>Row Labels</t>
  </si>
  <si>
    <t>Grand Total</t>
  </si>
  <si>
    <t>Column Labels</t>
  </si>
  <si>
    <t>Unknown</t>
  </si>
  <si>
    <t>Total_Revenue</t>
  </si>
  <si>
    <t>Month_Year</t>
  </si>
  <si>
    <t>Quarter</t>
  </si>
  <si>
    <t>Sum of Total_Revenue</t>
  </si>
  <si>
    <t>Jan</t>
  </si>
  <si>
    <t>Feb</t>
  </si>
  <si>
    <t>Mar</t>
  </si>
  <si>
    <t>Apr</t>
  </si>
  <si>
    <t>May</t>
  </si>
  <si>
    <t>Jun</t>
  </si>
  <si>
    <t>Jul</t>
  </si>
  <si>
    <t>Aug</t>
  </si>
  <si>
    <t>Sep</t>
  </si>
  <si>
    <t>Oct</t>
  </si>
  <si>
    <t>Nov</t>
  </si>
  <si>
    <t>Dec</t>
  </si>
  <si>
    <t>Sum of Units_Sold</t>
  </si>
  <si>
    <t>Count of Order_ID</t>
  </si>
  <si>
    <t>Q1</t>
  </si>
  <si>
    <t>Q2</t>
  </si>
  <si>
    <t>Q3</t>
  </si>
  <si>
    <t>Q4</t>
  </si>
  <si>
    <t>Feb-2024</t>
  </si>
  <si>
    <t>Jan-2024</t>
  </si>
  <si>
    <t>Mar-2024</t>
  </si>
  <si>
    <t>Apr-2024</t>
  </si>
  <si>
    <t>Jun-2024</t>
  </si>
  <si>
    <t>May-2024</t>
  </si>
  <si>
    <t>Aug-2024</t>
  </si>
  <si>
    <t>Jul-2024</t>
  </si>
  <si>
    <t>Sep-2024</t>
  </si>
  <si>
    <t>Dec-2024</t>
  </si>
  <si>
    <t>Nov-2024</t>
  </si>
  <si>
    <t>Oct-2024</t>
  </si>
  <si>
    <t>Sales Performance MIS Report — FY 2024</t>
  </si>
  <si>
    <t>KEY PERFORMANCE INDICATORS</t>
  </si>
  <si>
    <t>Total Revenue</t>
  </si>
  <si>
    <t>Total Orders</t>
  </si>
  <si>
    <t>Total Units Sold</t>
  </si>
  <si>
    <t>Avg Order Value</t>
  </si>
  <si>
    <t>Month</t>
  </si>
  <si>
    <t>Total Units</t>
  </si>
  <si>
    <t>MONTH-WISE SALES SUMMARY</t>
  </si>
  <si>
    <t>REGION-WISE SALES SUMMARY</t>
  </si>
  <si>
    <t>Order ID</t>
  </si>
  <si>
    <t>ORDER LOOKUP TOOL</t>
  </si>
  <si>
    <t>10-09-2024</t>
  </si>
  <si>
    <t>18/07/24</t>
  </si>
  <si>
    <t>2024-06-11</t>
  </si>
  <si>
    <t xml:space="preserve">  Bhubaneswar </t>
  </si>
  <si>
    <t>15/01/24</t>
  </si>
  <si>
    <t>2024-12-12</t>
  </si>
  <si>
    <t>05/04/24</t>
  </si>
  <si>
    <t>2024-09-02</t>
  </si>
  <si>
    <t>14 Feb 2024</t>
  </si>
  <si>
    <t>17 units</t>
  </si>
  <si>
    <t>16 Jan 2024</t>
  </si>
  <si>
    <t>Soth</t>
  </si>
  <si>
    <t>04/26/2024</t>
  </si>
  <si>
    <t xml:space="preserve">  Patna </t>
  </si>
  <si>
    <t>7 units</t>
  </si>
  <si>
    <t>23/08/24</t>
  </si>
  <si>
    <t>09/15/2024</t>
  </si>
  <si>
    <t>north</t>
  </si>
  <si>
    <t>22 Aug 2024</t>
  </si>
  <si>
    <t>09 Oct 2024</t>
  </si>
  <si>
    <t>neha gupta</t>
  </si>
  <si>
    <t>23-05-2024</t>
  </si>
  <si>
    <t>03/22/2024</t>
  </si>
  <si>
    <t>amit verma</t>
  </si>
  <si>
    <t>11-01-2024</t>
  </si>
  <si>
    <t>26-12-2024</t>
  </si>
  <si>
    <t>24/04/24</t>
  </si>
  <si>
    <t>2024-03-22</t>
  </si>
  <si>
    <t>WEST</t>
  </si>
  <si>
    <t>04/15/2024</t>
  </si>
  <si>
    <t>31 May 2024</t>
  </si>
  <si>
    <t>21 Mar 2024</t>
  </si>
  <si>
    <t>03-02-2024</t>
  </si>
  <si>
    <t>19/06/24</t>
  </si>
  <si>
    <t>13 Jul 2024</t>
  </si>
  <si>
    <t xml:space="preserve">Amit Verma </t>
  </si>
  <si>
    <t>22-08-2024</t>
  </si>
  <si>
    <t>16-02-2024</t>
  </si>
  <si>
    <t>02/29/2024</t>
  </si>
  <si>
    <t>07/12/2024</t>
  </si>
  <si>
    <t>2024-04-16</t>
  </si>
  <si>
    <t>18 Aug 2024</t>
  </si>
  <si>
    <t>11 units</t>
  </si>
  <si>
    <t>16/06/24</t>
  </si>
  <si>
    <t xml:space="preserve">  Mumbai </t>
  </si>
  <si>
    <t>05-05-2024</t>
  </si>
  <si>
    <t>08-02-2024</t>
  </si>
  <si>
    <t>05 Jun 2024</t>
  </si>
  <si>
    <t>17 Jan 2024</t>
  </si>
  <si>
    <t>02 Oct 2024</t>
  </si>
  <si>
    <t>26 Nov 2024</t>
  </si>
  <si>
    <t>2024-11-09</t>
  </si>
  <si>
    <t>RAHUL SHARMA</t>
  </si>
  <si>
    <t>17 Dec 2024</t>
  </si>
  <si>
    <t>21/06/24</t>
  </si>
  <si>
    <t>18/09/24</t>
  </si>
  <si>
    <t>09-10-2024</t>
  </si>
  <si>
    <t>10/09/24</t>
  </si>
  <si>
    <t>11/14/2024</t>
  </si>
  <si>
    <t>04/12/24</t>
  </si>
  <si>
    <t xml:space="preserve"> Neha Gupta</t>
  </si>
  <si>
    <t>15/12/24</t>
  </si>
  <si>
    <t>19-10-2024</t>
  </si>
  <si>
    <t>2024-10-06</t>
  </si>
  <si>
    <t>EAST</t>
  </si>
  <si>
    <t>2024-10-23</t>
  </si>
  <si>
    <t>11/18/2024</t>
  </si>
  <si>
    <t>14 units</t>
  </si>
  <si>
    <t>07 Feb 2024</t>
  </si>
  <si>
    <t>18 Mar 2024</t>
  </si>
  <si>
    <t>2024-09-18</t>
  </si>
  <si>
    <t>NORTH</t>
  </si>
  <si>
    <t>2024-03-27</t>
  </si>
  <si>
    <t xml:space="preserve">  Pune </t>
  </si>
  <si>
    <t>14 Oct 2024</t>
  </si>
  <si>
    <t>12/05/24</t>
  </si>
  <si>
    <t>05/07/2024</t>
  </si>
  <si>
    <t>11/06/2024</t>
  </si>
  <si>
    <t>₹34710</t>
  </si>
  <si>
    <t>07/03/2024</t>
  </si>
  <si>
    <t>13 units</t>
  </si>
  <si>
    <t>04-02-2024</t>
  </si>
  <si>
    <t>8 units</t>
  </si>
  <si>
    <t>29/01/24</t>
  </si>
  <si>
    <t>27 Sep 2024</t>
  </si>
  <si>
    <t>18 Jun 2024</t>
  </si>
  <si>
    <t>east</t>
  </si>
  <si>
    <t>02 Sep 2024</t>
  </si>
  <si>
    <t>22-01-2024</t>
  </si>
  <si>
    <t>07/03/24</t>
  </si>
  <si>
    <t>13 May 2024</t>
  </si>
  <si>
    <t>29 Jun 2024</t>
  </si>
  <si>
    <t>31-12-2024</t>
  </si>
  <si>
    <t>13/09/24</t>
  </si>
  <si>
    <t>12/06/2024</t>
  </si>
  <si>
    <t>16/02/24</t>
  </si>
  <si>
    <t>09-06-2024</t>
  </si>
  <si>
    <t>05/05/24</t>
  </si>
  <si>
    <t>02/23/2024</t>
  </si>
  <si>
    <t>2024-07-08</t>
  </si>
  <si>
    <t>29/09/24</t>
  </si>
  <si>
    <t>2024-02-27</t>
  </si>
  <si>
    <t>29-12-2024</t>
  </si>
  <si>
    <t>29-09-2024</t>
  </si>
  <si>
    <t>21-01-2024</t>
  </si>
  <si>
    <t>NEHA GUPTA</t>
  </si>
  <si>
    <t>03 Oct 2024</t>
  </si>
  <si>
    <t>2024-09-26</t>
  </si>
  <si>
    <t>2024-08-19</t>
  </si>
  <si>
    <t>09 May 2024</t>
  </si>
  <si>
    <t>2024-12-03</t>
  </si>
  <si>
    <t>09/07/24</t>
  </si>
  <si>
    <t>31 Jul 2024</t>
  </si>
  <si>
    <t>2024-07-30</t>
  </si>
  <si>
    <t>28/11/24</t>
  </si>
  <si>
    <t>30-09-2024</t>
  </si>
  <si>
    <t>09-12-2024</t>
  </si>
  <si>
    <t>20/07/24</t>
  </si>
  <si>
    <t>2024-03-26</t>
  </si>
  <si>
    <t xml:space="preserve">  Delhi </t>
  </si>
  <si>
    <t>2024-11-15</t>
  </si>
  <si>
    <t>2024-01-29</t>
  </si>
  <si>
    <t>18 Nov 2024</t>
  </si>
  <si>
    <t>karan singh</t>
  </si>
  <si>
    <t>22-12-2024</t>
  </si>
  <si>
    <t>2024-05-03</t>
  </si>
  <si>
    <t>2024-09-30</t>
  </si>
  <si>
    <t>10-06-2024</t>
  </si>
  <si>
    <t>25-04-2024</t>
  </si>
  <si>
    <t>2024-02-22</t>
  </si>
  <si>
    <t>10/02/24</t>
  </si>
  <si>
    <t>₹7553</t>
  </si>
  <si>
    <t>30-03-2024</t>
  </si>
  <si>
    <t>18 May 2024</t>
  </si>
  <si>
    <t>₹31213</t>
  </si>
  <si>
    <t>2024-02-05</t>
  </si>
  <si>
    <t>20/03/24</t>
  </si>
  <si>
    <t>Nort</t>
  </si>
  <si>
    <t>08-07-2024</t>
  </si>
  <si>
    <t>26-11-2024</t>
  </si>
  <si>
    <t>17 Oct 2024</t>
  </si>
  <si>
    <t>02/07/24</t>
  </si>
  <si>
    <t>02 Dec 2024</t>
  </si>
  <si>
    <t>13-08-2024</t>
  </si>
  <si>
    <t>2024-09-19</t>
  </si>
  <si>
    <t>07 May 2024</t>
  </si>
  <si>
    <t>08 Jul 2024</t>
  </si>
  <si>
    <t>2024-05-10</t>
  </si>
  <si>
    <t>10/05/2024</t>
  </si>
  <si>
    <t xml:space="preserve"> Amit Verma</t>
  </si>
  <si>
    <t>05/06/2024</t>
  </si>
  <si>
    <t>2024-11-24</t>
  </si>
  <si>
    <t>2024-05-22</t>
  </si>
  <si>
    <t>13-09-2024</t>
  </si>
  <si>
    <t>03-07-2024</t>
  </si>
  <si>
    <t>₹17138</t>
  </si>
  <si>
    <t>16 Oct 2024</t>
  </si>
  <si>
    <t>23-10-2024</t>
  </si>
  <si>
    <t xml:space="preserve">  Chennai </t>
  </si>
  <si>
    <t>07 Dec 2024</t>
  </si>
  <si>
    <t>₹49112</t>
  </si>
  <si>
    <t>29-10-2024</t>
  </si>
  <si>
    <t>2024-01-12</t>
  </si>
  <si>
    <t>2024-11-12</t>
  </si>
  <si>
    <t>10/08/24</t>
  </si>
  <si>
    <t>₹49002</t>
  </si>
  <si>
    <t>02 Mar 2024</t>
  </si>
  <si>
    <t>20-01-2024</t>
  </si>
  <si>
    <t>23/07/24</t>
  </si>
  <si>
    <t>01/23/2024</t>
  </si>
  <si>
    <t>27-01-2024</t>
  </si>
  <si>
    <t>25 Oct 2024</t>
  </si>
  <si>
    <t>2024-07-20</t>
  </si>
  <si>
    <t>19/07/24</t>
  </si>
  <si>
    <t>21/02/24</t>
  </si>
  <si>
    <t>05-09-2024</t>
  </si>
  <si>
    <t>09/17/2024</t>
  </si>
  <si>
    <t>18-11-2024</t>
  </si>
  <si>
    <t>08 Feb 2024</t>
  </si>
  <si>
    <t>4 units</t>
  </si>
  <si>
    <t>14/04/24</t>
  </si>
  <si>
    <t xml:space="preserve"> Priya Mehta</t>
  </si>
  <si>
    <t>₹49186</t>
  </si>
  <si>
    <t>29-01-2024</t>
  </si>
  <si>
    <t>29 Mar 2024</t>
  </si>
  <si>
    <t>16-09-2024</t>
  </si>
  <si>
    <t>16 Dec 2024</t>
  </si>
  <si>
    <t>KARAN SINGH</t>
  </si>
  <si>
    <t>06/09/24</t>
  </si>
  <si>
    <t>11/03/2024</t>
  </si>
  <si>
    <t>10/15/2024</t>
  </si>
  <si>
    <t>2024-08-22</t>
  </si>
  <si>
    <t>10-05-2024</t>
  </si>
  <si>
    <t>₹20282</t>
  </si>
  <si>
    <t>28 Oct 2024</t>
  </si>
  <si>
    <t>06-03-2024</t>
  </si>
  <si>
    <t>07/02/24</t>
  </si>
  <si>
    <t>04-05-2024</t>
  </si>
  <si>
    <t>01/01/24</t>
  </si>
  <si>
    <t>07/10/24</t>
  </si>
  <si>
    <t>2024-09-13</t>
  </si>
  <si>
    <t>22/02/24</t>
  </si>
  <si>
    <t>2024-04-21</t>
  </si>
  <si>
    <t>16/05/24</t>
  </si>
  <si>
    <t>31/01/24</t>
  </si>
  <si>
    <t>03/02/2024</t>
  </si>
  <si>
    <t>Est</t>
  </si>
  <si>
    <t xml:space="preserve"> Rahul Sharma</t>
  </si>
  <si>
    <t>23/01/24</t>
  </si>
  <si>
    <t>04-04-2024</t>
  </si>
  <si>
    <t>2 units</t>
  </si>
  <si>
    <t>22-04-2024</t>
  </si>
  <si>
    <t>2024-04-09</t>
  </si>
  <si>
    <t xml:space="preserve">Rahul Sharma </t>
  </si>
  <si>
    <t>03-06-2024</t>
  </si>
  <si>
    <t>01-07-2024</t>
  </si>
  <si>
    <t>08-10-2024</t>
  </si>
  <si>
    <t>11 Jul 2024</t>
  </si>
  <si>
    <t>15-10-2024</t>
  </si>
  <si>
    <t>03 Apr 2024</t>
  </si>
  <si>
    <t>13/03/24</t>
  </si>
  <si>
    <t>03 Jul 2024</t>
  </si>
  <si>
    <t>04 Nov 2024</t>
  </si>
  <si>
    <t>₹37891</t>
  </si>
  <si>
    <t>27 Jan 2024</t>
  </si>
  <si>
    <t>06-12-2024</t>
  </si>
  <si>
    <t>09/06/24</t>
  </si>
  <si>
    <t>20/11/24</t>
  </si>
  <si>
    <t>07/01/2024</t>
  </si>
  <si>
    <t>₹37950</t>
  </si>
  <si>
    <t>2024-06-14</t>
  </si>
  <si>
    <t xml:space="preserve">  Ahmedabad </t>
  </si>
  <si>
    <t>2024-07-21</t>
  </si>
  <si>
    <t>02/10/2024</t>
  </si>
  <si>
    <t>23 Sep 2024</t>
  </si>
  <si>
    <t>2024-10-14</t>
  </si>
  <si>
    <t>2024-08-12</t>
  </si>
  <si>
    <t>09/03/24</t>
  </si>
  <si>
    <t>23-07-2024</t>
  </si>
  <si>
    <t xml:space="preserve">  Hyderabad </t>
  </si>
  <si>
    <t>10/30/2024</t>
  </si>
  <si>
    <t>south</t>
  </si>
  <si>
    <t>2024-08-15</t>
  </si>
  <si>
    <t>02-04-2024</t>
  </si>
  <si>
    <t>15 Sep 2024</t>
  </si>
  <si>
    <t>20 Apr 2024</t>
  </si>
  <si>
    <t>04/02/2024</t>
  </si>
  <si>
    <t>06/10/2024</t>
  </si>
  <si>
    <t>Prepared By: Amit Lentham | Date Period: Jan 2024 - Dec 2024</t>
  </si>
  <si>
    <t>Project Made : Feb-Mar 2025</t>
  </si>
  <si>
    <t xml:space="preserve">Prepared By: Amit Lentham | Date Period: Jan 2024 - Dec 2024 |  Project Made : Feb-Mar 2025                                                                      </t>
  </si>
  <si>
    <t>SALES PERFORMANCE MIS DASHBOARD — FY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</si>
</sst>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_ * #,##0_ ;_ * \-#,##0_ ;_ * &quot;-&quot;??_ ;_ @_ "/>
    <numFmt numFmtId="165" formatCode="&quot;₹&quot;\ #,##0"/>
    <numFmt numFmtId="166" formatCode="_ &quot;₹&quot;\ * #,##0_ ;_ &quot;₹&quot;\ * \-#,##0_ ;_ &quot;₹&quot;\ * &quot;-&quot;??_ ;_ @_ "/>
    <numFmt numFmtId="167" formatCode="yyyy\-mm\-dd\ h:mm:ss"/>
  </numFmts>
  <fonts count="12" x14ac:knownFonts="1">
    <font>
      <sz val="11"/>
      <color theme="1"/>
      <name val="Calibri"/>
      <family val="2"/>
      <scheme val="minor"/>
    </font>
    <font>
      <b/>
      <sz val="11"/>
      <color theme="1"/>
      <name val="Calibri"/>
      <family val="2"/>
      <scheme val="minor"/>
    </font>
    <font>
      <sz val="11"/>
      <color theme="1"/>
      <name val="Calibri"/>
      <family val="2"/>
      <scheme val="minor"/>
    </font>
    <font>
      <b/>
      <sz val="16"/>
      <color theme="0"/>
      <name val="Calibri"/>
      <family val="2"/>
      <scheme val="minor"/>
    </font>
    <font>
      <b/>
      <sz val="11"/>
      <color theme="0"/>
      <name val="Calibri"/>
      <family val="2"/>
      <scheme val="minor"/>
    </font>
    <font>
      <sz val="11"/>
      <color theme="0"/>
      <name val="Calibri"/>
      <family val="2"/>
      <scheme val="minor"/>
    </font>
    <font>
      <b/>
      <i/>
      <sz val="10"/>
      <color theme="1"/>
      <name val="Calibri"/>
      <family val="2"/>
      <scheme val="minor"/>
    </font>
    <font>
      <b/>
      <sz val="11"/>
      <name val="Calibri"/>
    </font>
    <font>
      <b/>
      <sz val="20"/>
      <color theme="1"/>
      <name val="Calibri"/>
      <family val="2"/>
      <scheme val="minor"/>
    </font>
    <font>
      <sz val="28"/>
      <color theme="0"/>
      <name val="Calibri"/>
      <family val="2"/>
      <scheme val="minor"/>
    </font>
    <font>
      <sz val="16"/>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4" fontId="0" fillId="0" borderId="0" xfId="0" applyNumberFormat="1"/>
    <xf numFmtId="165" fontId="1" fillId="0" borderId="2" xfId="1" applyNumberFormat="1" applyFont="1" applyFill="1" applyBorder="1" applyAlignment="1">
      <alignment horizontal="center" vertical="top"/>
    </xf>
    <xf numFmtId="165" fontId="0" fillId="0" borderId="0" xfId="1" applyNumberFormat="1" applyFont="1"/>
    <xf numFmtId="165" fontId="1" fillId="0" borderId="1" xfId="1" applyNumberFormat="1" applyFont="1" applyBorder="1" applyAlignment="1">
      <alignment horizontal="center" vertical="top"/>
    </xf>
    <xf numFmtId="0" fontId="0" fillId="0" borderId="0" xfId="0" applyAlignment="1">
      <alignment horizontal="left" indent="1"/>
    </xf>
    <xf numFmtId="17" fontId="0" fillId="0" borderId="0" xfId="0" applyNumberFormat="1"/>
    <xf numFmtId="0" fontId="1" fillId="3" borderId="1" xfId="0" applyFont="1" applyFill="1" applyBorder="1"/>
    <xf numFmtId="0" fontId="0" fillId="0" borderId="1" xfId="0" applyBorder="1"/>
    <xf numFmtId="165" fontId="0" fillId="0" borderId="1" xfId="1" applyNumberFormat="1" applyFont="1" applyBorder="1"/>
    <xf numFmtId="165" fontId="0" fillId="0" borderId="0" xfId="0" applyNumberFormat="1"/>
    <xf numFmtId="166" fontId="0" fillId="0" borderId="0" xfId="2" applyNumberFormat="1" applyFont="1"/>
    <xf numFmtId="0" fontId="4" fillId="2" borderId="0" xfId="0" applyFont="1" applyFill="1"/>
    <xf numFmtId="166" fontId="4" fillId="2" borderId="0" xfId="0" applyNumberFormat="1" applyFont="1" applyFill="1"/>
    <xf numFmtId="165" fontId="2" fillId="0" borderId="2" xfId="1" applyNumberFormat="1" applyFont="1" applyFill="1" applyBorder="1" applyAlignment="1">
      <alignment horizontal="center" vertical="top"/>
    </xf>
    <xf numFmtId="165" fontId="0" fillId="0" borderId="1" xfId="0" applyNumberFormat="1" applyBorder="1"/>
    <xf numFmtId="166" fontId="0" fillId="0" borderId="0" xfId="0" applyNumberFormat="1"/>
    <xf numFmtId="166" fontId="4" fillId="2" borderId="0" xfId="2" applyNumberFormat="1" applyFont="1" applyFill="1"/>
    <xf numFmtId="0" fontId="7" fillId="0" borderId="0" xfId="0" applyFont="1"/>
    <xf numFmtId="167" fontId="0" fillId="0" borderId="0" xfId="0" applyNumberFormat="1"/>
    <xf numFmtId="0" fontId="10" fillId="0" borderId="0" xfId="0" applyFont="1"/>
    <xf numFmtId="0" fontId="3" fillId="2" borderId="0" xfId="0" applyFont="1" applyFill="1"/>
    <xf numFmtId="165" fontId="11" fillId="3" borderId="0" xfId="2" applyNumberFormat="1" applyFont="1" applyFill="1"/>
    <xf numFmtId="0" fontId="11" fillId="3" borderId="0" xfId="2" applyNumberFormat="1" applyFont="1" applyFill="1"/>
    <xf numFmtId="0" fontId="9" fillId="2" borderId="0" xfId="0" applyFont="1" applyFill="1" applyAlignment="1">
      <alignment horizontal="center" vertical="center"/>
    </xf>
    <xf numFmtId="0" fontId="8" fillId="0" borderId="0" xfId="0" applyFont="1" applyAlignment="1">
      <alignment horizontal="center" vertical="center"/>
    </xf>
    <xf numFmtId="0" fontId="3" fillId="2" borderId="0" xfId="0" applyFont="1" applyFill="1" applyAlignment="1">
      <alignment horizontal="center"/>
    </xf>
    <xf numFmtId="0" fontId="6"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5" fillId="2" borderId="0" xfId="0" applyFont="1" applyFill="1" applyAlignment="1">
      <alignment horizontal="center"/>
    </xf>
  </cellXfs>
  <cellStyles count="3">
    <cellStyle name="Comma" xfId="1" builtinId="3"/>
    <cellStyle name="Currency" xfId="2" builtinId="4"/>
    <cellStyle name="Normal" xfId="0" builtinId="0"/>
  </cellStyles>
  <dxfs count="4">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9"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Lentham.xlsx]Region_Revenue!Region_Revenue</c:name>
    <c:fmtId val="6"/>
  </c:pivotSource>
  <c:chart>
    <c:title>
      <c:tx>
        <c:rich>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2000" b="1" i="0" u="none" strike="noStrike" cap="none" baseline="0">
                <a:effectLst>
                  <a:outerShdw blurRad="38100" dist="19050" dir="2700000" algn="tl" rotWithShape="0">
                    <a:sysClr val="windowText" lastClr="000000">
                      <a:alpha val="40000"/>
                    </a:sysClr>
                  </a:outerShdw>
                </a:effectLst>
              </a:rPr>
              <a:t>Region-wise Revenue FY 2024</a:t>
            </a:r>
          </a:p>
        </c:rich>
      </c:tx>
      <c:overlay val="0"/>
      <c:spPr>
        <a:noFill/>
        <a:ln>
          <a:noFill/>
        </a:ln>
        <a:effectLst/>
      </c:spPr>
      <c:txPr>
        <a:bodyPr rot="0" spcFirstLastPara="1" vertOverflow="ellipsis" vert="horz" wrap="square" anchor="ctr" anchorCtr="1"/>
        <a:lstStyle/>
        <a:p>
          <a:pPr>
            <a:defRPr sz="2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Region_Revenue!$A$4:$A$9</c:f>
              <c:strCache>
                <c:ptCount val="5"/>
                <c:pt idx="0">
                  <c:v>East</c:v>
                </c:pt>
                <c:pt idx="1">
                  <c:v>North</c:v>
                </c:pt>
                <c:pt idx="2">
                  <c:v>South</c:v>
                </c:pt>
                <c:pt idx="3">
                  <c:v>Unknown</c:v>
                </c:pt>
                <c:pt idx="4">
                  <c:v>West</c:v>
                </c:pt>
              </c:strCache>
            </c:strRef>
          </c:cat>
          <c:val>
            <c:numRef>
              <c:f>Region_Revenue!$B$4:$B$9</c:f>
              <c:numCache>
                <c:formatCode>_ * #,##0_ ;_ * \-#,##0_ ;_ * "-"??_ ;_ @_ </c:formatCode>
                <c:ptCount val="5"/>
                <c:pt idx="0">
                  <c:v>18136368</c:v>
                </c:pt>
                <c:pt idx="1">
                  <c:v>18429976</c:v>
                </c:pt>
                <c:pt idx="2">
                  <c:v>24751542</c:v>
                </c:pt>
                <c:pt idx="3">
                  <c:v>1737317</c:v>
                </c:pt>
                <c:pt idx="4">
                  <c:v>18480996</c:v>
                </c:pt>
              </c:numCache>
            </c:numRef>
          </c:val>
          <c:extLst>
            <c:ext xmlns:c16="http://schemas.microsoft.com/office/drawing/2014/chart" uri="{C3380CC4-5D6E-409C-BE32-E72D297353CC}">
              <c16:uniqueId val="{00000000-FF74-4E49-A17A-BFBB26CA4127}"/>
            </c:ext>
          </c:extLst>
        </c:ser>
        <c:dLbls>
          <c:dLblPos val="inEnd"/>
          <c:showLegendKey val="0"/>
          <c:showVal val="1"/>
          <c:showCatName val="0"/>
          <c:showSerName val="0"/>
          <c:showPercent val="0"/>
          <c:showBubbleSize val="0"/>
        </c:dLbls>
        <c:gapWidth val="65"/>
        <c:axId val="58470351"/>
        <c:axId val="58470831"/>
      </c:barChart>
      <c:catAx>
        <c:axId val="58470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8470831"/>
        <c:crosses val="autoZero"/>
        <c:auto val="1"/>
        <c:lblAlgn val="ctr"/>
        <c:lblOffset val="100"/>
        <c:noMultiLvlLbl val="0"/>
      </c:catAx>
      <c:valAx>
        <c:axId val="5847083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584703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Lentham.xlsx]Month_Trend!Month_Trend</c:name>
    <c:fmtId val="24"/>
  </c:pivotSource>
  <c:chart>
    <c:title>
      <c:tx>
        <c:rich>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r>
              <a:rPr lang="en-IN" sz="2000" b="1"/>
              <a:t>Monthly Sales Trend FY 2024</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0"/>
              <c:y val="-4.640371229698375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2036685069538878E-2"/>
              <c:y val="0.13127109111361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277139208173691E-2"/>
              <c:y val="4.9751243781094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0"/>
              <c:y val="-1.421464108031272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0642826734780718E-2"/>
              <c:y val="-1.3029937134007668E-1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1.0642826734780758E-3"/>
              <c:y val="-2.13219616204690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0"/>
              <c:y val="3.198294243070362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1.0642826734780758E-2"/>
              <c:y val="-3.198294243070368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7.804649445529498E-17"/>
              <c:y val="1.776830135039083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7219556550188"/>
          <c:y val="0.21613024670797457"/>
          <c:w val="0.86871870067186696"/>
          <c:h val="0.55608773816123958"/>
        </c:manualLayout>
      </c:layout>
      <c:lineChart>
        <c:grouping val="standard"/>
        <c:varyColors val="0"/>
        <c:ser>
          <c:idx val="0"/>
          <c:order val="0"/>
          <c:tx>
            <c:strRef>
              <c:f>Month_Trend!$B$2</c:f>
              <c:strCache>
                <c:ptCount val="1"/>
                <c:pt idx="0">
                  <c:v>Sum of Total_Revenue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1"/>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6-CD20-4E6C-AE46-D7D6734DD2E6}"/>
              </c:ext>
            </c:extLst>
          </c:dPt>
          <c:dPt>
            <c:idx val="3"/>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4-CD20-4E6C-AE46-D7D6734DD2E6}"/>
              </c:ext>
            </c:extLst>
          </c:dPt>
          <c:dPt>
            <c:idx val="9"/>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8-CD20-4E6C-AE46-D7D6734DD2E6}"/>
              </c:ext>
            </c:extLst>
          </c:dPt>
          <c:dPt>
            <c:idx val="10"/>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2-CD20-4E6C-AE46-D7D6734DD2E6}"/>
              </c:ext>
            </c:extLst>
          </c:dPt>
          <c:dPt>
            <c:idx val="11"/>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3-6F56-42E2-B454-A472B41467A5}"/>
              </c:ext>
            </c:extLst>
          </c:dPt>
          <c:dLbls>
            <c:dLbl>
              <c:idx val="1"/>
              <c:layout>
                <c:manualLayout>
                  <c:x val="0"/>
                  <c:y val="3.1982942430703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20-4E6C-AE46-D7D6734DD2E6}"/>
                </c:ext>
              </c:extLst>
            </c:dLbl>
            <c:dLbl>
              <c:idx val="3"/>
              <c:layout>
                <c:manualLayout>
                  <c:x val="1.0642826734780718E-2"/>
                  <c:y val="-1.3029937134007668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20-4E6C-AE46-D7D6734DD2E6}"/>
                </c:ext>
              </c:extLst>
            </c:dLbl>
            <c:dLbl>
              <c:idx val="9"/>
              <c:layout>
                <c:manualLayout>
                  <c:x val="7.804649445529498E-17"/>
                  <c:y val="1.7768301350390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20-4E6C-AE46-D7D6734DD2E6}"/>
                </c:ext>
              </c:extLst>
            </c:dLbl>
            <c:dLbl>
              <c:idx val="10"/>
              <c:layout>
                <c:manualLayout>
                  <c:x val="-1.277139208173691E-2"/>
                  <c:y val="4.975124378109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20-4E6C-AE46-D7D6734DD2E6}"/>
                </c:ext>
              </c:extLst>
            </c:dLbl>
            <c:dLbl>
              <c:idx val="11"/>
              <c:layout>
                <c:manualLayout>
                  <c:x val="-2.2036685069538878E-2"/>
                  <c:y val="0.13127109111361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56-42E2-B454-A472B41467A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Month_Trend!$A$3:$A$15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Month_Trend!$B$3:$B$15</c:f>
              <c:numCache>
                <c:formatCode>_ * #,##0_ ;_ * \-#,##0_ ;_ * "-"??_ ;_ @_ </c:formatCode>
                <c:ptCount val="12"/>
                <c:pt idx="0">
                  <c:v>8147926</c:v>
                </c:pt>
                <c:pt idx="1">
                  <c:v>6138144</c:v>
                </c:pt>
                <c:pt idx="2">
                  <c:v>4444904</c:v>
                </c:pt>
                <c:pt idx="3">
                  <c:v>4832210</c:v>
                </c:pt>
                <c:pt idx="4">
                  <c:v>5871322</c:v>
                </c:pt>
                <c:pt idx="5">
                  <c:v>7145156</c:v>
                </c:pt>
                <c:pt idx="6">
                  <c:v>6592159</c:v>
                </c:pt>
                <c:pt idx="7">
                  <c:v>6105214</c:v>
                </c:pt>
                <c:pt idx="8">
                  <c:v>11654128</c:v>
                </c:pt>
                <c:pt idx="9">
                  <c:v>9628802</c:v>
                </c:pt>
                <c:pt idx="10">
                  <c:v>3123725</c:v>
                </c:pt>
                <c:pt idx="11">
                  <c:v>7852509</c:v>
                </c:pt>
              </c:numCache>
            </c:numRef>
          </c:val>
          <c:smooth val="0"/>
          <c:extLst>
            <c:ext xmlns:c16="http://schemas.microsoft.com/office/drawing/2014/chart" uri="{C3380CC4-5D6E-409C-BE32-E72D297353CC}">
              <c16:uniqueId val="{00000000-6F56-42E2-B454-A472B41467A5}"/>
            </c:ext>
          </c:extLst>
        </c:ser>
        <c:dLbls>
          <c:showLegendKey val="0"/>
          <c:showVal val="1"/>
          <c:showCatName val="0"/>
          <c:showSerName val="0"/>
          <c:showPercent val="0"/>
          <c:showBubbleSize val="0"/>
        </c:dLbls>
        <c:dropLines>
          <c:spPr>
            <a:ln w="9525" cap="flat" cmpd="sng" algn="ctr">
              <a:solidFill>
                <a:schemeClr val="dk1">
                  <a:lumMod val="35000"/>
                  <a:lumOff val="65000"/>
                </a:schemeClr>
              </a:solidFill>
              <a:round/>
            </a:ln>
            <a:effectLst/>
          </c:spPr>
        </c:dropLines>
        <c:marker val="1"/>
        <c:smooth val="0"/>
        <c:axId val="1786380031"/>
        <c:axId val="1786375711"/>
      </c:lineChart>
      <c:lineChart>
        <c:grouping val="standard"/>
        <c:varyColors val="0"/>
        <c:ser>
          <c:idx val="1"/>
          <c:order val="1"/>
          <c:tx>
            <c:strRef>
              <c:f>Month_Trend!$C$2</c:f>
              <c:strCache>
                <c:ptCount val="1"/>
                <c:pt idx="0">
                  <c:v>Sum of Units_Sold</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0"/>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7-CD20-4E6C-AE46-D7D6734DD2E6}"/>
              </c:ext>
            </c:extLst>
          </c:dPt>
          <c:dPt>
            <c:idx val="1"/>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5-CD20-4E6C-AE46-D7D6734DD2E6}"/>
              </c:ext>
            </c:extLst>
          </c:dPt>
          <c:dPt>
            <c:idx val="5"/>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3-CD20-4E6C-AE46-D7D6734DD2E6}"/>
              </c:ext>
            </c:extLst>
          </c:dPt>
          <c:dPt>
            <c:idx val="11"/>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2-6F56-42E2-B454-A472B41467A5}"/>
              </c:ext>
            </c:extLst>
          </c:dPt>
          <c:dLbls>
            <c:dLbl>
              <c:idx val="0"/>
              <c:layout>
                <c:manualLayout>
                  <c:x val="-1.0642826734780758E-2"/>
                  <c:y val="-3.1982942430703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20-4E6C-AE46-D7D6734DD2E6}"/>
                </c:ext>
              </c:extLst>
            </c:dLbl>
            <c:dLbl>
              <c:idx val="1"/>
              <c:layout>
                <c:manualLayout>
                  <c:x val="-1.0642826734780758E-3"/>
                  <c:y val="-2.13219616204690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20-4E6C-AE46-D7D6734DD2E6}"/>
                </c:ext>
              </c:extLst>
            </c:dLbl>
            <c:dLbl>
              <c:idx val="5"/>
              <c:layout>
                <c:manualLayout>
                  <c:x val="0"/>
                  <c:y val="-1.4214641080312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20-4E6C-AE46-D7D6734DD2E6}"/>
                </c:ext>
              </c:extLst>
            </c:dLbl>
            <c:dLbl>
              <c:idx val="11"/>
              <c:layout>
                <c:manualLayout>
                  <c:x val="0"/>
                  <c:y val="-4.64037122969837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56-42E2-B454-A472B41467A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Month_Trend!$A$3:$A$15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Month_Trend!$C$3:$C$15</c:f>
              <c:numCache>
                <c:formatCode>General</c:formatCode>
                <c:ptCount val="12"/>
                <c:pt idx="0">
                  <c:v>306</c:v>
                </c:pt>
                <c:pt idx="1">
                  <c:v>242</c:v>
                </c:pt>
                <c:pt idx="2">
                  <c:v>213</c:v>
                </c:pt>
                <c:pt idx="3">
                  <c:v>206</c:v>
                </c:pt>
                <c:pt idx="4">
                  <c:v>245</c:v>
                </c:pt>
                <c:pt idx="5">
                  <c:v>288</c:v>
                </c:pt>
                <c:pt idx="6">
                  <c:v>284</c:v>
                </c:pt>
                <c:pt idx="7">
                  <c:v>213</c:v>
                </c:pt>
                <c:pt idx="8">
                  <c:v>426</c:v>
                </c:pt>
                <c:pt idx="9">
                  <c:v>344</c:v>
                </c:pt>
                <c:pt idx="10">
                  <c:v>120</c:v>
                </c:pt>
                <c:pt idx="11">
                  <c:v>257</c:v>
                </c:pt>
              </c:numCache>
            </c:numRef>
          </c:val>
          <c:smooth val="0"/>
          <c:extLst>
            <c:ext xmlns:c16="http://schemas.microsoft.com/office/drawing/2014/chart" uri="{C3380CC4-5D6E-409C-BE32-E72D297353CC}">
              <c16:uniqueId val="{00000001-6F56-42E2-B454-A472B41467A5}"/>
            </c:ext>
          </c:extLst>
        </c:ser>
        <c:dLbls>
          <c:showLegendKey val="0"/>
          <c:showVal val="1"/>
          <c:showCatName val="0"/>
          <c:showSerName val="0"/>
          <c:showPercent val="0"/>
          <c:showBubbleSize val="0"/>
        </c:dLbls>
        <c:marker val="1"/>
        <c:smooth val="0"/>
        <c:axId val="306600687"/>
        <c:axId val="306604527"/>
      </c:lineChart>
      <c:catAx>
        <c:axId val="17863800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86375711"/>
        <c:crosses val="autoZero"/>
        <c:auto val="1"/>
        <c:lblAlgn val="ctr"/>
        <c:lblOffset val="100"/>
        <c:noMultiLvlLbl val="0"/>
      </c:catAx>
      <c:valAx>
        <c:axId val="1786375711"/>
        <c:scaling>
          <c:orientation val="minMax"/>
        </c:scaling>
        <c:delete val="0"/>
        <c:axPos val="l"/>
        <c:majorGridlines>
          <c:spPr>
            <a:ln w="9525" cap="flat" cmpd="sng" algn="ctr">
              <a:solidFill>
                <a:schemeClr val="dk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crossAx val="1786380031"/>
        <c:crosses val="autoZero"/>
        <c:crossBetween val="between"/>
      </c:valAx>
      <c:valAx>
        <c:axId val="3066045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crossAx val="306600687"/>
        <c:crosses val="max"/>
        <c:crossBetween val="between"/>
      </c:valAx>
      <c:catAx>
        <c:axId val="306600687"/>
        <c:scaling>
          <c:orientation val="minMax"/>
        </c:scaling>
        <c:delete val="0"/>
        <c:axPos val="t"/>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06604527"/>
        <c:crosses val="max"/>
        <c:auto val="1"/>
        <c:lblAlgn val="ctr"/>
        <c:lblOffset val="100"/>
        <c:noMultiLvlLbl val="0"/>
      </c:cat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Lentham.xlsx]Category_Revenue!PivotTable1</c:name>
    <c:fmtId val="9"/>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IN" sz="2400" b="1" i="0" u="none" strike="noStrike" baseline="0"/>
              <a:t>Category-wise Revenue Split FY 2024</a:t>
            </a:r>
            <a:endParaRPr lang="en-US" sz="240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Category_Revenue!$B$18</c:f>
              <c:strCache>
                <c:ptCount val="1"/>
                <c:pt idx="0">
                  <c:v>Sum of Total_Revenue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AA-40BD-AD73-B00378FE8E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AA-40BD-AD73-B00378FE8E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AA-40BD-AD73-B00378FE8E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Category_Revenue!$A$19:$A$22</c:f>
              <c:strCache>
                <c:ptCount val="3"/>
                <c:pt idx="0">
                  <c:v>Electronics</c:v>
                </c:pt>
                <c:pt idx="1">
                  <c:v>Furniture</c:v>
                </c:pt>
                <c:pt idx="2">
                  <c:v>Office Supplies</c:v>
                </c:pt>
              </c:strCache>
            </c:strRef>
          </c:cat>
          <c:val>
            <c:numRef>
              <c:f>Category_Revenue!$B$19:$B$22</c:f>
              <c:numCache>
                <c:formatCode>_ * #,##0_ ;_ * \-#,##0_ ;_ * "-"??_ ;_ @_ </c:formatCode>
                <c:ptCount val="3"/>
                <c:pt idx="0">
                  <c:v>20484512</c:v>
                </c:pt>
                <c:pt idx="1">
                  <c:v>29047738</c:v>
                </c:pt>
                <c:pt idx="2">
                  <c:v>32003949</c:v>
                </c:pt>
              </c:numCache>
            </c:numRef>
          </c:val>
          <c:extLst>
            <c:ext xmlns:c16="http://schemas.microsoft.com/office/drawing/2014/chart" uri="{C3380CC4-5D6E-409C-BE32-E72D297353CC}">
              <c16:uniqueId val="{00000006-31AA-40BD-AD73-B00378FE8E98}"/>
            </c:ext>
          </c:extLst>
        </c:ser>
        <c:ser>
          <c:idx val="1"/>
          <c:order val="1"/>
          <c:tx>
            <c:strRef>
              <c:f>Category_Revenue!$C$18</c:f>
              <c:strCache>
                <c:ptCount val="1"/>
                <c:pt idx="0">
                  <c:v>Sum of Units_Sold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1AA-40BD-AD73-B00378FE8E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31AA-40BD-AD73-B00378FE8E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31AA-40BD-AD73-B00378FE8E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Category_Revenue!$A$19:$A$22</c:f>
              <c:strCache>
                <c:ptCount val="3"/>
                <c:pt idx="0">
                  <c:v>Electronics</c:v>
                </c:pt>
                <c:pt idx="1">
                  <c:v>Furniture</c:v>
                </c:pt>
                <c:pt idx="2">
                  <c:v>Office Supplies</c:v>
                </c:pt>
              </c:strCache>
            </c:strRef>
          </c:cat>
          <c:val>
            <c:numRef>
              <c:f>Category_Revenue!$C$19:$C$22</c:f>
              <c:numCache>
                <c:formatCode>General</c:formatCode>
                <c:ptCount val="3"/>
                <c:pt idx="0">
                  <c:v>820</c:v>
                </c:pt>
                <c:pt idx="1">
                  <c:v>1143</c:v>
                </c:pt>
                <c:pt idx="2">
                  <c:v>1181</c:v>
                </c:pt>
              </c:numCache>
            </c:numRef>
          </c:val>
          <c:extLst>
            <c:ext xmlns:c16="http://schemas.microsoft.com/office/drawing/2014/chart" uri="{C3380CC4-5D6E-409C-BE32-E72D297353CC}">
              <c16:uniqueId val="{0000000D-31AA-40BD-AD73-B00378FE8E9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Lentham.xlsx]Salesperson_Performance!Salesperson_Performance</c:name>
    <c:fmtId val="16"/>
  </c:pivotSource>
  <c:chart>
    <c:title>
      <c:tx>
        <c:rich>
          <a:bodyPr/>
          <a:lstStyle/>
          <a:p>
            <a:pPr algn="ctr" rtl="0">
              <a:defRPr lang="en-IN" sz="2000" b="1" i="0" u="none" strike="noStrike" kern="1200" baseline="0">
                <a:solidFill>
                  <a:srgbClr val="1F497D"/>
                </a:solidFill>
                <a:latin typeface="+mn-lt"/>
                <a:ea typeface="+mn-ea"/>
                <a:cs typeface="+mn-cs"/>
              </a:defRPr>
            </a:pPr>
            <a:r>
              <a:rPr lang="en-IN" sz="2000" b="1" i="0" u="none" strike="noStrike" kern="1200" baseline="0">
                <a:solidFill>
                  <a:srgbClr val="1F497D"/>
                </a:solidFill>
                <a:latin typeface="+mn-lt"/>
                <a:ea typeface="+mn-ea"/>
                <a:cs typeface="+mn-cs"/>
              </a:rPr>
              <a:t>Salesperson Performance</a:t>
            </a:r>
          </a:p>
        </c:rich>
      </c:tx>
      <c:layout>
        <c:manualLayout>
          <c:xMode val="edge"/>
          <c:yMode val="edge"/>
          <c:x val="0.36555120541896413"/>
          <c:y val="3.5868566795483559E-2"/>
        </c:manualLayout>
      </c:layout>
      <c:overlay val="0"/>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Salesperson_Performance!$B$3</c:f>
              <c:strCache>
                <c:ptCount val="1"/>
                <c:pt idx="0">
                  <c:v>Sum of 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Salesperson_Performance!$B$4:$B$10</c:f>
              <c:numCache>
                <c:formatCode>_ * #,##0_ ;_ * \-#,##0_ ;_ * "-"??_ ;_ @_ </c:formatCode>
                <c:ptCount val="6"/>
                <c:pt idx="0">
                  <c:v>18291400</c:v>
                </c:pt>
                <c:pt idx="1">
                  <c:v>13694982</c:v>
                </c:pt>
                <c:pt idx="2">
                  <c:v>18931680</c:v>
                </c:pt>
                <c:pt idx="3">
                  <c:v>15862368</c:v>
                </c:pt>
                <c:pt idx="4">
                  <c:v>12957575</c:v>
                </c:pt>
                <c:pt idx="5">
                  <c:v>1798194</c:v>
                </c:pt>
              </c:numCache>
            </c:numRef>
          </c:val>
          <c:extLst>
            <c:ext xmlns:c16="http://schemas.microsoft.com/office/drawing/2014/chart" uri="{C3380CC4-5D6E-409C-BE32-E72D297353CC}">
              <c16:uniqueId val="{00000004-E6E7-4B45-A3C7-9B4A66584C24}"/>
            </c:ext>
          </c:extLst>
        </c:ser>
        <c:dLbls>
          <c:showLegendKey val="0"/>
          <c:showVal val="0"/>
          <c:showCatName val="0"/>
          <c:showSerName val="0"/>
          <c:showPercent val="0"/>
          <c:showBubbleSize val="0"/>
        </c:dLbls>
        <c:gapWidth val="219"/>
        <c:axId val="306639567"/>
        <c:axId val="306634287"/>
      </c:barChart>
      <c:barChart>
        <c:barDir val="col"/>
        <c:grouping val="clustered"/>
        <c:varyColors val="0"/>
        <c:ser>
          <c:idx val="1"/>
          <c:order val="1"/>
          <c:tx>
            <c:strRef>
              <c:f>Salesperson_Performance!$C$3</c:f>
              <c:strCache>
                <c:ptCount val="1"/>
                <c:pt idx="0">
                  <c:v>Sum of Units_Sold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Salesperson_Performance!$C$4:$C$10</c:f>
              <c:numCache>
                <c:formatCode>General</c:formatCode>
                <c:ptCount val="6"/>
                <c:pt idx="0">
                  <c:v>658</c:v>
                </c:pt>
                <c:pt idx="1">
                  <c:v>537</c:v>
                </c:pt>
                <c:pt idx="2">
                  <c:v>747</c:v>
                </c:pt>
                <c:pt idx="3">
                  <c:v>652</c:v>
                </c:pt>
                <c:pt idx="4">
                  <c:v>468</c:v>
                </c:pt>
                <c:pt idx="5">
                  <c:v>82</c:v>
                </c:pt>
              </c:numCache>
            </c:numRef>
          </c:val>
          <c:extLst>
            <c:ext xmlns:c16="http://schemas.microsoft.com/office/drawing/2014/chart" uri="{C3380CC4-5D6E-409C-BE32-E72D297353CC}">
              <c16:uniqueId val="{00000006-E6E7-4B45-A3C7-9B4A66584C24}"/>
            </c:ext>
          </c:extLst>
        </c:ser>
        <c:ser>
          <c:idx val="2"/>
          <c:order val="2"/>
          <c:tx>
            <c:strRef>
              <c:f>Salesperson_Performance!$D$3</c:f>
              <c:strCache>
                <c:ptCount val="1"/>
                <c:pt idx="0">
                  <c:v>Count of Order_ID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Salesperson_Performance!$D$4:$D$10</c:f>
              <c:numCache>
                <c:formatCode>General</c:formatCode>
                <c:ptCount val="6"/>
                <c:pt idx="0">
                  <c:v>62</c:v>
                </c:pt>
                <c:pt idx="1">
                  <c:v>55</c:v>
                </c:pt>
                <c:pt idx="2">
                  <c:v>69</c:v>
                </c:pt>
                <c:pt idx="3">
                  <c:v>60</c:v>
                </c:pt>
                <c:pt idx="4">
                  <c:v>46</c:v>
                </c:pt>
                <c:pt idx="5">
                  <c:v>8</c:v>
                </c:pt>
              </c:numCache>
            </c:numRef>
          </c:val>
          <c:extLst>
            <c:ext xmlns:c16="http://schemas.microsoft.com/office/drawing/2014/chart" uri="{C3380CC4-5D6E-409C-BE32-E72D297353CC}">
              <c16:uniqueId val="{00000008-E6E7-4B45-A3C7-9B4A66584C24}"/>
            </c:ext>
          </c:extLst>
        </c:ser>
        <c:dLbls>
          <c:showLegendKey val="0"/>
          <c:showVal val="0"/>
          <c:showCatName val="0"/>
          <c:showSerName val="0"/>
          <c:showPercent val="0"/>
          <c:showBubbleSize val="0"/>
        </c:dLbls>
        <c:gapWidth val="219"/>
        <c:axId val="306635727"/>
        <c:axId val="306652047"/>
      </c:barChart>
      <c:catAx>
        <c:axId val="306639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634287"/>
        <c:crosses val="autoZero"/>
        <c:auto val="1"/>
        <c:lblAlgn val="ctr"/>
        <c:lblOffset val="100"/>
        <c:noMultiLvlLbl val="0"/>
      </c:catAx>
      <c:valAx>
        <c:axId val="306634287"/>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306639567"/>
        <c:crosses val="autoZero"/>
        <c:crossBetween val="between"/>
      </c:valAx>
      <c:valAx>
        <c:axId val="3066520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306635727"/>
        <c:crosses val="max"/>
        <c:crossBetween val="between"/>
      </c:valAx>
      <c:catAx>
        <c:axId val="306635727"/>
        <c:scaling>
          <c:orientation val="minMax"/>
        </c:scaling>
        <c:delete val="1"/>
        <c:axPos val="b"/>
        <c:numFmt formatCode="General" sourceLinked="1"/>
        <c:majorTickMark val="none"/>
        <c:minorTickMark val="none"/>
        <c:tickLblPos val="nextTo"/>
        <c:crossAx val="306652047"/>
        <c:crosses val="autoZero"/>
        <c:auto val="1"/>
        <c:lblAlgn val="ctr"/>
        <c:lblOffset val="100"/>
        <c:noMultiLvlLbl val="0"/>
      </c:cat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14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Lentham.xlsx]Quarter_Summary!Quarter_Summary</c:name>
    <c:fmtId val="17"/>
  </c:pivotSource>
  <c:chart>
    <c:title>
      <c:tx>
        <c:rich>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r>
              <a:rPr lang="en-IN" sz="2000" b="1"/>
              <a:t>Quarter-wise Category Revenue FY 2024</a:t>
            </a:r>
          </a:p>
        </c:rich>
      </c:tx>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fld id="{3F2890E8-0758-4475-891F-887E8EC1F427}" type="VALUE">
                  <a:rPr lang="en-US" sz="16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18084126463717884"/>
                  <c:h val="5.8220792291510115E-2"/>
                </c:manualLayout>
              </c15:layout>
              <c15:dlblFieldTable/>
              <c15:showDataLabelsRange val="0"/>
            </c:ext>
          </c:extLst>
        </c:dLbl>
      </c:pivotFmt>
      <c:pivotFmt>
        <c:idx val="2"/>
        <c:dLbl>
          <c:idx val="0"/>
          <c:tx>
            <c:rich>
              <a:bodyPr/>
              <a:lstStyle/>
              <a:p>
                <a:fld id="{8B4F2706-592B-40A4-845C-C7A320D7603A}" type="VALUE">
                  <a:rPr lang="en-US" sz="16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tx>
            <c:rich>
              <a:bodyPr/>
              <a:lstStyle/>
              <a:p>
                <a:fld id="{D5DC2726-FB3A-440D-97CC-675A48757C0B}" type="VALUE">
                  <a:rPr lang="en-US" sz="16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Quarter_Summary!$B$3:$B$4</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Quarter_Summary!$A$5:$A$9</c:f>
              <c:strCache>
                <c:ptCount val="4"/>
                <c:pt idx="0">
                  <c:v>Q1</c:v>
                </c:pt>
                <c:pt idx="1">
                  <c:v>Q2</c:v>
                </c:pt>
                <c:pt idx="2">
                  <c:v>Q3</c:v>
                </c:pt>
                <c:pt idx="3">
                  <c:v>Q4</c:v>
                </c:pt>
              </c:strCache>
            </c:strRef>
          </c:cat>
          <c:val>
            <c:numRef>
              <c:f>Quarter_Summary!$B$5:$B$9</c:f>
              <c:numCache>
                <c:formatCode>_ * #,##0_ ;_ * \-#,##0_ ;_ * "-"??_ ;_ @_ </c:formatCode>
                <c:ptCount val="4"/>
                <c:pt idx="0">
                  <c:v>5407752</c:v>
                </c:pt>
                <c:pt idx="1">
                  <c:v>6501040</c:v>
                </c:pt>
                <c:pt idx="2">
                  <c:v>5601236</c:v>
                </c:pt>
                <c:pt idx="3">
                  <c:v>2974484</c:v>
                </c:pt>
              </c:numCache>
            </c:numRef>
          </c:val>
          <c:extLst>
            <c:ext xmlns:c16="http://schemas.microsoft.com/office/drawing/2014/chart" uri="{C3380CC4-5D6E-409C-BE32-E72D297353CC}">
              <c16:uniqueId val="{00000000-6844-4BEB-9BDA-95DD206989B0}"/>
            </c:ext>
          </c:extLst>
        </c:ser>
        <c:ser>
          <c:idx val="1"/>
          <c:order val="1"/>
          <c:tx>
            <c:strRef>
              <c:f>Quarter_Summary!$C$3:$C$4</c:f>
              <c:strCache>
                <c:ptCount val="1"/>
                <c:pt idx="0">
                  <c:v>Furniture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Quarter_Summary!$A$5:$A$9</c:f>
              <c:strCache>
                <c:ptCount val="4"/>
                <c:pt idx="0">
                  <c:v>Q1</c:v>
                </c:pt>
                <c:pt idx="1">
                  <c:v>Q2</c:v>
                </c:pt>
                <c:pt idx="2">
                  <c:v>Q3</c:v>
                </c:pt>
                <c:pt idx="3">
                  <c:v>Q4</c:v>
                </c:pt>
              </c:strCache>
            </c:strRef>
          </c:cat>
          <c:val>
            <c:numRef>
              <c:f>Quarter_Summary!$C$5:$C$9</c:f>
              <c:numCache>
                <c:formatCode>_ * #,##0_ ;_ * \-#,##0_ ;_ * "-"??_ ;_ @_ </c:formatCode>
                <c:ptCount val="4"/>
                <c:pt idx="0">
                  <c:v>7017554</c:v>
                </c:pt>
                <c:pt idx="1">
                  <c:v>7009480</c:v>
                </c:pt>
                <c:pt idx="2">
                  <c:v>8118016</c:v>
                </c:pt>
                <c:pt idx="3">
                  <c:v>6902688</c:v>
                </c:pt>
              </c:numCache>
            </c:numRef>
          </c:val>
          <c:extLst>
            <c:ext xmlns:c16="http://schemas.microsoft.com/office/drawing/2014/chart" uri="{C3380CC4-5D6E-409C-BE32-E72D297353CC}">
              <c16:uniqueId val="{00000002-6FE2-486C-A575-C395A8842947}"/>
            </c:ext>
          </c:extLst>
        </c:ser>
        <c:ser>
          <c:idx val="2"/>
          <c:order val="2"/>
          <c:tx>
            <c:strRef>
              <c:f>Quarter_Summary!$D$3:$D$4</c:f>
              <c:strCache>
                <c:ptCount val="1"/>
                <c:pt idx="0">
                  <c:v>Office Supplies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Quarter_Summary!$A$5:$A$9</c:f>
              <c:strCache>
                <c:ptCount val="4"/>
                <c:pt idx="0">
                  <c:v>Q1</c:v>
                </c:pt>
                <c:pt idx="1">
                  <c:v>Q2</c:v>
                </c:pt>
                <c:pt idx="2">
                  <c:v>Q3</c:v>
                </c:pt>
                <c:pt idx="3">
                  <c:v>Q4</c:v>
                </c:pt>
              </c:strCache>
            </c:strRef>
          </c:cat>
          <c:val>
            <c:numRef>
              <c:f>Quarter_Summary!$D$5:$D$9</c:f>
              <c:numCache>
                <c:formatCode>_ * #,##0_ ;_ * \-#,##0_ ;_ * "-"??_ ;_ @_ </c:formatCode>
                <c:ptCount val="4"/>
                <c:pt idx="0">
                  <c:v>6305668</c:v>
                </c:pt>
                <c:pt idx="1">
                  <c:v>4338168</c:v>
                </c:pt>
                <c:pt idx="2">
                  <c:v>10632249</c:v>
                </c:pt>
                <c:pt idx="3">
                  <c:v>10727864</c:v>
                </c:pt>
              </c:numCache>
            </c:numRef>
          </c:val>
          <c:extLst>
            <c:ext xmlns:c16="http://schemas.microsoft.com/office/drawing/2014/chart" uri="{C3380CC4-5D6E-409C-BE32-E72D297353CC}">
              <c16:uniqueId val="{00000003-6FE2-486C-A575-C395A8842947}"/>
            </c:ext>
          </c:extLst>
        </c:ser>
        <c:dLbls>
          <c:dLblPos val="ctr"/>
          <c:showLegendKey val="0"/>
          <c:showVal val="1"/>
          <c:showCatName val="0"/>
          <c:showSerName val="0"/>
          <c:showPercent val="0"/>
          <c:showBubbleSize val="0"/>
        </c:dLbls>
        <c:gapWidth val="79"/>
        <c:overlap val="100"/>
        <c:axId val="30966975"/>
        <c:axId val="30975615"/>
      </c:barChart>
      <c:catAx>
        <c:axId val="3096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975615"/>
        <c:crosses val="autoZero"/>
        <c:auto val="1"/>
        <c:lblAlgn val="ctr"/>
        <c:lblOffset val="100"/>
        <c:noMultiLvlLbl val="0"/>
      </c:catAx>
      <c:valAx>
        <c:axId val="30975615"/>
        <c:scaling>
          <c:orientation val="minMax"/>
        </c:scaling>
        <c:delete val="1"/>
        <c:axPos val="b"/>
        <c:numFmt formatCode="_ * #,##0_ ;_ * \-#,##0_ ;_ * &quot;-&quot;??_ ;_ @_ " sourceLinked="1"/>
        <c:majorTickMark val="none"/>
        <c:minorTickMark val="none"/>
        <c:tickLblPos val="nextTo"/>
        <c:crossAx val="3096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Lentham.xlsx]Region_Revenue!Region_Revenue</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800" b="0" i="0" u="none" strike="noStrike" cap="none" baseline="0">
                <a:effectLst>
                  <a:outerShdw blurRad="38100" dist="19050" dir="2700000" algn="tl" rotWithShape="0">
                    <a:sysClr val="windowText" lastClr="000000">
                      <a:alpha val="40000"/>
                    </a:sysClr>
                  </a:outerShdw>
                </a:effectLst>
              </a:rPr>
              <a:t>Region-wise Revenue FY 2024</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Region_Revenue!$A$4:$A$9</c:f>
              <c:strCache>
                <c:ptCount val="5"/>
                <c:pt idx="0">
                  <c:v>East</c:v>
                </c:pt>
                <c:pt idx="1">
                  <c:v>North</c:v>
                </c:pt>
                <c:pt idx="2">
                  <c:v>South</c:v>
                </c:pt>
                <c:pt idx="3">
                  <c:v>Unknown</c:v>
                </c:pt>
                <c:pt idx="4">
                  <c:v>West</c:v>
                </c:pt>
              </c:strCache>
            </c:strRef>
          </c:cat>
          <c:val>
            <c:numRef>
              <c:f>Region_Revenue!$B$4:$B$9</c:f>
              <c:numCache>
                <c:formatCode>_ * #,##0_ ;_ * \-#,##0_ ;_ * "-"??_ ;_ @_ </c:formatCode>
                <c:ptCount val="5"/>
                <c:pt idx="0">
                  <c:v>18136368</c:v>
                </c:pt>
                <c:pt idx="1">
                  <c:v>18429976</c:v>
                </c:pt>
                <c:pt idx="2">
                  <c:v>24751542</c:v>
                </c:pt>
                <c:pt idx="3">
                  <c:v>1737317</c:v>
                </c:pt>
                <c:pt idx="4">
                  <c:v>18480996</c:v>
                </c:pt>
              </c:numCache>
            </c:numRef>
          </c:val>
          <c:extLst>
            <c:ext xmlns:c16="http://schemas.microsoft.com/office/drawing/2014/chart" uri="{C3380CC4-5D6E-409C-BE32-E72D297353CC}">
              <c16:uniqueId val="{00000000-CF84-4ACC-BF99-8924F5806DFD}"/>
            </c:ext>
          </c:extLst>
        </c:ser>
        <c:dLbls>
          <c:dLblPos val="inEnd"/>
          <c:showLegendKey val="0"/>
          <c:showVal val="1"/>
          <c:showCatName val="0"/>
          <c:showSerName val="0"/>
          <c:showPercent val="0"/>
          <c:showBubbleSize val="0"/>
        </c:dLbls>
        <c:gapWidth val="65"/>
        <c:axId val="58470351"/>
        <c:axId val="58470831"/>
      </c:barChart>
      <c:catAx>
        <c:axId val="58470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8470831"/>
        <c:crosses val="autoZero"/>
        <c:auto val="1"/>
        <c:lblAlgn val="ctr"/>
        <c:lblOffset val="100"/>
        <c:noMultiLvlLbl val="0"/>
      </c:catAx>
      <c:valAx>
        <c:axId val="584708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84703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Lentham.xlsx]Month_Trend!Month_Trend</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Monthly Sales Trend FY 2024</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9.2234383409372631E-17"/>
              <c:y val="-6.6696309470875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2392834293026232E-2"/>
              <c:y val="6.7356643286829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Month_Trend!$B$2</c:f>
              <c:strCache>
                <c:ptCount val="1"/>
                <c:pt idx="0">
                  <c:v>Sum of Total_Revenue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11"/>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2-104F-4B63-8542-DBEF40446C97}"/>
              </c:ext>
            </c:extLst>
          </c:dPt>
          <c:dLbls>
            <c:dLbl>
              <c:idx val="11"/>
              <c:layout>
                <c:manualLayout>
                  <c:x val="-2.2392834293026232E-2"/>
                  <c:y val="6.7356643286829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4F-4B63-8542-DBEF40446C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Month_Trend!$A$3:$A$15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Month_Trend!$B$3:$B$15</c:f>
              <c:numCache>
                <c:formatCode>_ * #,##0_ ;_ * \-#,##0_ ;_ * "-"??_ ;_ @_ </c:formatCode>
                <c:ptCount val="12"/>
                <c:pt idx="0">
                  <c:v>8147926</c:v>
                </c:pt>
                <c:pt idx="1">
                  <c:v>6138144</c:v>
                </c:pt>
                <c:pt idx="2">
                  <c:v>4444904</c:v>
                </c:pt>
                <c:pt idx="3">
                  <c:v>4832210</c:v>
                </c:pt>
                <c:pt idx="4">
                  <c:v>5871322</c:v>
                </c:pt>
                <c:pt idx="5">
                  <c:v>7145156</c:v>
                </c:pt>
                <c:pt idx="6">
                  <c:v>6592159</c:v>
                </c:pt>
                <c:pt idx="7">
                  <c:v>6105214</c:v>
                </c:pt>
                <c:pt idx="8">
                  <c:v>11654128</c:v>
                </c:pt>
                <c:pt idx="9">
                  <c:v>9628802</c:v>
                </c:pt>
                <c:pt idx="10">
                  <c:v>3123725</c:v>
                </c:pt>
                <c:pt idx="11">
                  <c:v>7852509</c:v>
                </c:pt>
              </c:numCache>
            </c:numRef>
          </c:val>
          <c:smooth val="0"/>
          <c:extLst>
            <c:ext xmlns:c16="http://schemas.microsoft.com/office/drawing/2014/chart" uri="{C3380CC4-5D6E-409C-BE32-E72D297353CC}">
              <c16:uniqueId val="{00000000-327B-43EF-A0FC-210589773327}"/>
            </c:ext>
          </c:extLst>
        </c:ser>
        <c:dLbls>
          <c:showLegendKey val="0"/>
          <c:showVal val="1"/>
          <c:showCatName val="0"/>
          <c:showSerName val="0"/>
          <c:showPercent val="0"/>
          <c:showBubbleSize val="0"/>
        </c:dLbls>
        <c:dropLines>
          <c:spPr>
            <a:ln w="9525" cap="flat" cmpd="sng" algn="ctr">
              <a:solidFill>
                <a:schemeClr val="dk1">
                  <a:lumMod val="35000"/>
                  <a:lumOff val="65000"/>
                </a:schemeClr>
              </a:solidFill>
              <a:round/>
            </a:ln>
            <a:effectLst/>
          </c:spPr>
        </c:dropLines>
        <c:marker val="1"/>
        <c:smooth val="0"/>
        <c:axId val="1786380031"/>
        <c:axId val="1786375711"/>
      </c:lineChart>
      <c:lineChart>
        <c:grouping val="standard"/>
        <c:varyColors val="0"/>
        <c:ser>
          <c:idx val="1"/>
          <c:order val="1"/>
          <c:tx>
            <c:strRef>
              <c:f>Month_Trend!$C$2</c:f>
              <c:strCache>
                <c:ptCount val="1"/>
                <c:pt idx="0">
                  <c:v>Sum of Units_Sold</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11"/>
            <c:marker>
              <c:symbol val="circle"/>
              <c:size val="6"/>
              <c:spPr>
                <a:solidFill>
                  <a:schemeClr val="lt1"/>
                </a:solidFill>
                <a:ln w="15875">
                  <a:solidFill>
                    <a:schemeClr val="accent2"/>
                  </a:solidFill>
                  <a:round/>
                </a:ln>
                <a:effectLst/>
              </c:spPr>
            </c:marker>
            <c:bubble3D val="0"/>
            <c:spPr>
              <a:ln w="22225" cap="rnd">
                <a:solidFill>
                  <a:schemeClr val="accent2"/>
                </a:solidFill>
                <a:round/>
              </a:ln>
              <a:effectLst/>
            </c:spPr>
            <c:extLst>
              <c:ext xmlns:c16="http://schemas.microsoft.com/office/drawing/2014/chart" uri="{C3380CC4-5D6E-409C-BE32-E72D297353CC}">
                <c16:uniqueId val="{00000000-104F-4B63-8542-DBEF40446C97}"/>
              </c:ext>
            </c:extLst>
          </c:dPt>
          <c:dLbls>
            <c:dLbl>
              <c:idx val="11"/>
              <c:layout>
                <c:manualLayout>
                  <c:x val="-9.2234383409372631E-17"/>
                  <c:y val="-6.6696309470875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4F-4B63-8542-DBEF40446C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Month_Trend!$A$3:$A$15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Month_Trend!$C$3:$C$15</c:f>
              <c:numCache>
                <c:formatCode>General</c:formatCode>
                <c:ptCount val="12"/>
                <c:pt idx="0">
                  <c:v>306</c:v>
                </c:pt>
                <c:pt idx="1">
                  <c:v>242</c:v>
                </c:pt>
                <c:pt idx="2">
                  <c:v>213</c:v>
                </c:pt>
                <c:pt idx="3">
                  <c:v>206</c:v>
                </c:pt>
                <c:pt idx="4">
                  <c:v>245</c:v>
                </c:pt>
                <c:pt idx="5">
                  <c:v>288</c:v>
                </c:pt>
                <c:pt idx="6">
                  <c:v>284</c:v>
                </c:pt>
                <c:pt idx="7">
                  <c:v>213</c:v>
                </c:pt>
                <c:pt idx="8">
                  <c:v>426</c:v>
                </c:pt>
                <c:pt idx="9">
                  <c:v>344</c:v>
                </c:pt>
                <c:pt idx="10">
                  <c:v>120</c:v>
                </c:pt>
                <c:pt idx="11">
                  <c:v>257</c:v>
                </c:pt>
              </c:numCache>
            </c:numRef>
          </c:val>
          <c:smooth val="0"/>
          <c:extLst>
            <c:ext xmlns:c16="http://schemas.microsoft.com/office/drawing/2014/chart" uri="{C3380CC4-5D6E-409C-BE32-E72D297353CC}">
              <c16:uniqueId val="{00000001-327B-43EF-A0FC-210589773327}"/>
            </c:ext>
          </c:extLst>
        </c:ser>
        <c:dLbls>
          <c:showLegendKey val="0"/>
          <c:showVal val="1"/>
          <c:showCatName val="0"/>
          <c:showSerName val="0"/>
          <c:showPercent val="0"/>
          <c:showBubbleSize val="0"/>
        </c:dLbls>
        <c:marker val="1"/>
        <c:smooth val="0"/>
        <c:axId val="306600687"/>
        <c:axId val="306604527"/>
      </c:lineChart>
      <c:catAx>
        <c:axId val="17863800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86375711"/>
        <c:crosses val="autoZero"/>
        <c:auto val="1"/>
        <c:lblAlgn val="ctr"/>
        <c:lblOffset val="100"/>
        <c:noMultiLvlLbl val="0"/>
      </c:catAx>
      <c:valAx>
        <c:axId val="1786375711"/>
        <c:scaling>
          <c:orientation val="minMax"/>
        </c:scaling>
        <c:delete val="0"/>
        <c:axPos val="l"/>
        <c:majorGridlines>
          <c:spPr>
            <a:ln w="9525" cap="flat" cmpd="sng" algn="ctr">
              <a:solidFill>
                <a:schemeClr val="dk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86380031"/>
        <c:crosses val="autoZero"/>
        <c:crossBetween val="between"/>
      </c:valAx>
      <c:valAx>
        <c:axId val="3066045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06600687"/>
        <c:crosses val="max"/>
        <c:crossBetween val="between"/>
      </c:valAx>
      <c:catAx>
        <c:axId val="306600687"/>
        <c:scaling>
          <c:orientation val="minMax"/>
        </c:scaling>
        <c:delete val="0"/>
        <c:axPos val="t"/>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06604527"/>
        <c:crosses val="max"/>
        <c:auto val="1"/>
        <c:lblAlgn val="ctr"/>
        <c:lblOffset val="100"/>
        <c:noMultiLvlLbl val="0"/>
      </c:cat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Lentham.xlsx]Category_Revenue!PivotTable1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Category-wise Revenue Split FY 2024</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Category_Revenue!$B$18</c:f>
              <c:strCache>
                <c:ptCount val="1"/>
                <c:pt idx="0">
                  <c:v>Sum of Total_Revenue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C0-4072-9415-457EBCDDFC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C0-4072-9415-457EBCDDFC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C0-4072-9415-457EBCDDFC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Category_Revenue!$A$19:$A$22</c:f>
              <c:strCache>
                <c:ptCount val="3"/>
                <c:pt idx="0">
                  <c:v>Electronics</c:v>
                </c:pt>
                <c:pt idx="1">
                  <c:v>Furniture</c:v>
                </c:pt>
                <c:pt idx="2">
                  <c:v>Office Supplies</c:v>
                </c:pt>
              </c:strCache>
            </c:strRef>
          </c:cat>
          <c:val>
            <c:numRef>
              <c:f>Category_Revenue!$B$19:$B$22</c:f>
              <c:numCache>
                <c:formatCode>_ * #,##0_ ;_ * \-#,##0_ ;_ * "-"??_ ;_ @_ </c:formatCode>
                <c:ptCount val="3"/>
                <c:pt idx="0">
                  <c:v>20484512</c:v>
                </c:pt>
                <c:pt idx="1">
                  <c:v>29047738</c:v>
                </c:pt>
                <c:pt idx="2">
                  <c:v>32003949</c:v>
                </c:pt>
              </c:numCache>
            </c:numRef>
          </c:val>
          <c:extLst>
            <c:ext xmlns:c16="http://schemas.microsoft.com/office/drawing/2014/chart" uri="{C3380CC4-5D6E-409C-BE32-E72D297353CC}">
              <c16:uniqueId val="{00000000-0933-49E6-A702-AECDE006A145}"/>
            </c:ext>
          </c:extLst>
        </c:ser>
        <c:ser>
          <c:idx val="1"/>
          <c:order val="1"/>
          <c:tx>
            <c:strRef>
              <c:f>Category_Revenue!$C$18</c:f>
              <c:strCache>
                <c:ptCount val="1"/>
                <c:pt idx="0">
                  <c:v>Sum of Units_Sold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C0-4072-9415-457EBCDDFC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C0-4072-9415-457EBCDDFC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7C0-4072-9415-457EBCDDFC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Category_Revenue!$A$19:$A$22</c:f>
              <c:strCache>
                <c:ptCount val="3"/>
                <c:pt idx="0">
                  <c:v>Electronics</c:v>
                </c:pt>
                <c:pt idx="1">
                  <c:v>Furniture</c:v>
                </c:pt>
                <c:pt idx="2">
                  <c:v>Office Supplies</c:v>
                </c:pt>
              </c:strCache>
            </c:strRef>
          </c:cat>
          <c:val>
            <c:numRef>
              <c:f>Category_Revenue!$C$19:$C$22</c:f>
              <c:numCache>
                <c:formatCode>General</c:formatCode>
                <c:ptCount val="3"/>
                <c:pt idx="0">
                  <c:v>820</c:v>
                </c:pt>
                <c:pt idx="1">
                  <c:v>1143</c:v>
                </c:pt>
                <c:pt idx="2">
                  <c:v>1181</c:v>
                </c:pt>
              </c:numCache>
            </c:numRef>
          </c:val>
          <c:extLst>
            <c:ext xmlns:c16="http://schemas.microsoft.com/office/drawing/2014/chart" uri="{C3380CC4-5D6E-409C-BE32-E72D297353CC}">
              <c16:uniqueId val="{00000001-0933-49E6-A702-AECDE006A14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Lentham.xlsx]Salesperson_Performance!Salesperson_Performance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Salesperson Performance FY 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Salesperson_Performance!$B$3</c:f>
              <c:strCache>
                <c:ptCount val="1"/>
                <c:pt idx="0">
                  <c:v>Sum of 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Salesperson_Performance!$B$4:$B$10</c:f>
              <c:numCache>
                <c:formatCode>_ * #,##0_ ;_ * \-#,##0_ ;_ * "-"??_ ;_ @_ </c:formatCode>
                <c:ptCount val="6"/>
                <c:pt idx="0">
                  <c:v>18291400</c:v>
                </c:pt>
                <c:pt idx="1">
                  <c:v>13694982</c:v>
                </c:pt>
                <c:pt idx="2">
                  <c:v>18931680</c:v>
                </c:pt>
                <c:pt idx="3">
                  <c:v>15862368</c:v>
                </c:pt>
                <c:pt idx="4">
                  <c:v>12957575</c:v>
                </c:pt>
                <c:pt idx="5">
                  <c:v>1798194</c:v>
                </c:pt>
              </c:numCache>
            </c:numRef>
          </c:val>
          <c:extLst>
            <c:ext xmlns:c16="http://schemas.microsoft.com/office/drawing/2014/chart" uri="{C3380CC4-5D6E-409C-BE32-E72D297353CC}">
              <c16:uniqueId val="{00000000-D9BB-40CB-B2C8-7FBBF836EB8D}"/>
            </c:ext>
          </c:extLst>
        </c:ser>
        <c:dLbls>
          <c:showLegendKey val="0"/>
          <c:showVal val="0"/>
          <c:showCatName val="0"/>
          <c:showSerName val="0"/>
          <c:showPercent val="0"/>
          <c:showBubbleSize val="0"/>
        </c:dLbls>
        <c:gapWidth val="219"/>
        <c:axId val="306639567"/>
        <c:axId val="306634287"/>
      </c:barChart>
      <c:barChart>
        <c:barDir val="col"/>
        <c:grouping val="clustered"/>
        <c:varyColors val="0"/>
        <c:ser>
          <c:idx val="1"/>
          <c:order val="1"/>
          <c:tx>
            <c:strRef>
              <c:f>Salesperson_Performance!$C$3</c:f>
              <c:strCache>
                <c:ptCount val="1"/>
                <c:pt idx="0">
                  <c:v>Sum of Units_Sold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Salesperson_Performance!$C$4:$C$10</c:f>
              <c:numCache>
                <c:formatCode>General</c:formatCode>
                <c:ptCount val="6"/>
                <c:pt idx="0">
                  <c:v>658</c:v>
                </c:pt>
                <c:pt idx="1">
                  <c:v>537</c:v>
                </c:pt>
                <c:pt idx="2">
                  <c:v>747</c:v>
                </c:pt>
                <c:pt idx="3">
                  <c:v>652</c:v>
                </c:pt>
                <c:pt idx="4">
                  <c:v>468</c:v>
                </c:pt>
                <c:pt idx="5">
                  <c:v>82</c:v>
                </c:pt>
              </c:numCache>
            </c:numRef>
          </c:val>
          <c:extLst>
            <c:ext xmlns:c16="http://schemas.microsoft.com/office/drawing/2014/chart" uri="{C3380CC4-5D6E-409C-BE32-E72D297353CC}">
              <c16:uniqueId val="{00000001-D9BB-40CB-B2C8-7FBBF836EB8D}"/>
            </c:ext>
          </c:extLst>
        </c:ser>
        <c:ser>
          <c:idx val="2"/>
          <c:order val="2"/>
          <c:tx>
            <c:strRef>
              <c:f>Salesperson_Performance!$D$3</c:f>
              <c:strCache>
                <c:ptCount val="1"/>
                <c:pt idx="0">
                  <c:v>Count of Order_ID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Salesperson_Performance!$A$4:$A$10</c:f>
              <c:strCache>
                <c:ptCount val="6"/>
                <c:pt idx="0">
                  <c:v>Amit Verma</c:v>
                </c:pt>
                <c:pt idx="1">
                  <c:v>Karan Singh</c:v>
                </c:pt>
                <c:pt idx="2">
                  <c:v>Neha Gupta</c:v>
                </c:pt>
                <c:pt idx="3">
                  <c:v>Priya Mehta</c:v>
                </c:pt>
                <c:pt idx="4">
                  <c:v>Rahul Sharma</c:v>
                </c:pt>
                <c:pt idx="5">
                  <c:v>Unknown</c:v>
                </c:pt>
              </c:strCache>
            </c:strRef>
          </c:cat>
          <c:val>
            <c:numRef>
              <c:f>Salesperson_Performance!$D$4:$D$10</c:f>
              <c:numCache>
                <c:formatCode>General</c:formatCode>
                <c:ptCount val="6"/>
                <c:pt idx="0">
                  <c:v>62</c:v>
                </c:pt>
                <c:pt idx="1">
                  <c:v>55</c:v>
                </c:pt>
                <c:pt idx="2">
                  <c:v>69</c:v>
                </c:pt>
                <c:pt idx="3">
                  <c:v>60</c:v>
                </c:pt>
                <c:pt idx="4">
                  <c:v>46</c:v>
                </c:pt>
                <c:pt idx="5">
                  <c:v>8</c:v>
                </c:pt>
              </c:numCache>
            </c:numRef>
          </c:val>
          <c:extLst>
            <c:ext xmlns:c16="http://schemas.microsoft.com/office/drawing/2014/chart" uri="{C3380CC4-5D6E-409C-BE32-E72D297353CC}">
              <c16:uniqueId val="{00000002-D9BB-40CB-B2C8-7FBBF836EB8D}"/>
            </c:ext>
          </c:extLst>
        </c:ser>
        <c:dLbls>
          <c:showLegendKey val="0"/>
          <c:showVal val="0"/>
          <c:showCatName val="0"/>
          <c:showSerName val="0"/>
          <c:showPercent val="0"/>
          <c:showBubbleSize val="0"/>
        </c:dLbls>
        <c:gapWidth val="219"/>
        <c:axId val="306635727"/>
        <c:axId val="306652047"/>
      </c:barChart>
      <c:catAx>
        <c:axId val="3066395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634287"/>
        <c:crosses val="autoZero"/>
        <c:auto val="1"/>
        <c:lblAlgn val="ctr"/>
        <c:lblOffset val="100"/>
        <c:noMultiLvlLbl val="0"/>
      </c:catAx>
      <c:valAx>
        <c:axId val="306634287"/>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639567"/>
        <c:crosses val="autoZero"/>
        <c:crossBetween val="between"/>
      </c:valAx>
      <c:valAx>
        <c:axId val="30665204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635727"/>
        <c:crosses val="max"/>
        <c:crossBetween val="between"/>
      </c:valAx>
      <c:catAx>
        <c:axId val="306635727"/>
        <c:scaling>
          <c:orientation val="minMax"/>
        </c:scaling>
        <c:delete val="1"/>
        <c:axPos val="b"/>
        <c:numFmt formatCode="General" sourceLinked="1"/>
        <c:majorTickMark val="none"/>
        <c:minorTickMark val="none"/>
        <c:tickLblPos val="nextTo"/>
        <c:crossAx val="306652047"/>
        <c:crosses val="autoZero"/>
        <c:auto val="1"/>
        <c:lblAlgn val="ctr"/>
        <c:lblOffset val="100"/>
        <c:noMultiLvlLbl val="0"/>
      </c:cat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[Sales_MIS_Project_FY2024_Amit Lentham.xlsx]Quarter_Summary!Quarter_Summary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Quarter-wise Category Revenue FY 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3F2890E8-0758-4475-891F-887E8EC1F427}" type="VALUE">
                  <a:rPr lang="en-US" sz="1600"/>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18084126463717884"/>
                  <c:h val="5.8220792291510115E-2"/>
                </c:manualLayout>
              </c15:layout>
              <c15:dlblFieldTable/>
              <c15:showDataLabelsRange val="0"/>
            </c:ext>
          </c:extLst>
        </c:dLbl>
      </c:pivotFmt>
      <c:pivotFmt>
        <c:idx val="2"/>
        <c:dLbl>
          <c:idx val="0"/>
          <c:tx>
            <c:rich>
              <a:bodyPr/>
              <a:lstStyle/>
              <a:p>
                <a:fld id="{8B4F2706-592B-40A4-845C-C7A320D7603A}" type="VALUE">
                  <a:rPr lang="en-US" sz="16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tx>
            <c:rich>
              <a:bodyPr/>
              <a:lstStyle/>
              <a:p>
                <a:fld id="{D5DC2726-FB3A-440D-97CC-675A48757C0B}" type="VALUE">
                  <a:rPr lang="en-US" sz="160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Quarter_Summary!$B$3:$B$4</c:f>
              <c:strCache>
                <c:ptCount val="1"/>
                <c:pt idx="0">
                  <c:v>Electronics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Quarter_Summary!$A$5:$A$9</c:f>
              <c:strCache>
                <c:ptCount val="4"/>
                <c:pt idx="0">
                  <c:v>Q1</c:v>
                </c:pt>
                <c:pt idx="1">
                  <c:v>Q2</c:v>
                </c:pt>
                <c:pt idx="2">
                  <c:v>Q3</c:v>
                </c:pt>
                <c:pt idx="3">
                  <c:v>Q4</c:v>
                </c:pt>
              </c:strCache>
            </c:strRef>
          </c:cat>
          <c:val>
            <c:numRef>
              <c:f>Quarter_Summary!$B$5:$B$9</c:f>
              <c:numCache>
                <c:formatCode>_ * #,##0_ ;_ * \-#,##0_ ;_ * "-"??_ ;_ @_ </c:formatCode>
                <c:ptCount val="4"/>
                <c:pt idx="0">
                  <c:v>5407752</c:v>
                </c:pt>
                <c:pt idx="1">
                  <c:v>6501040</c:v>
                </c:pt>
                <c:pt idx="2">
                  <c:v>5601236</c:v>
                </c:pt>
                <c:pt idx="3">
                  <c:v>2974484</c:v>
                </c:pt>
              </c:numCache>
            </c:numRef>
          </c:val>
          <c:extLst>
            <c:ext xmlns:c16="http://schemas.microsoft.com/office/drawing/2014/chart" uri="{C3380CC4-5D6E-409C-BE32-E72D297353CC}">
              <c16:uniqueId val="{00000000-3ED7-4961-A310-8437129D4493}"/>
            </c:ext>
          </c:extLst>
        </c:ser>
        <c:ser>
          <c:idx val="1"/>
          <c:order val="1"/>
          <c:tx>
            <c:strRef>
              <c:f>Quarter_Summary!$C$3:$C$4</c:f>
              <c:strCache>
                <c:ptCount val="1"/>
                <c:pt idx="0">
                  <c:v>Furniture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Quarter_Summary!$A$5:$A$9</c:f>
              <c:strCache>
                <c:ptCount val="4"/>
                <c:pt idx="0">
                  <c:v>Q1</c:v>
                </c:pt>
                <c:pt idx="1">
                  <c:v>Q2</c:v>
                </c:pt>
                <c:pt idx="2">
                  <c:v>Q3</c:v>
                </c:pt>
                <c:pt idx="3">
                  <c:v>Q4</c:v>
                </c:pt>
              </c:strCache>
            </c:strRef>
          </c:cat>
          <c:val>
            <c:numRef>
              <c:f>Quarter_Summary!$C$5:$C$9</c:f>
              <c:numCache>
                <c:formatCode>_ * #,##0_ ;_ * \-#,##0_ ;_ * "-"??_ ;_ @_ </c:formatCode>
                <c:ptCount val="4"/>
                <c:pt idx="0">
                  <c:v>7017554</c:v>
                </c:pt>
                <c:pt idx="1">
                  <c:v>7009480</c:v>
                </c:pt>
                <c:pt idx="2">
                  <c:v>8118016</c:v>
                </c:pt>
                <c:pt idx="3">
                  <c:v>6902688</c:v>
                </c:pt>
              </c:numCache>
            </c:numRef>
          </c:val>
          <c:extLst>
            <c:ext xmlns:c16="http://schemas.microsoft.com/office/drawing/2014/chart" uri="{C3380CC4-5D6E-409C-BE32-E72D297353CC}">
              <c16:uniqueId val="{00000003-537C-428A-970C-28FA13478AAA}"/>
            </c:ext>
          </c:extLst>
        </c:ser>
        <c:ser>
          <c:idx val="2"/>
          <c:order val="2"/>
          <c:tx>
            <c:strRef>
              <c:f>Quarter_Summary!$D$3:$D$4</c:f>
              <c:strCache>
                <c:ptCount val="1"/>
                <c:pt idx="0">
                  <c:v>Office Supplies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Quarter_Summary!$A$5:$A$9</c:f>
              <c:strCache>
                <c:ptCount val="4"/>
                <c:pt idx="0">
                  <c:v>Q1</c:v>
                </c:pt>
                <c:pt idx="1">
                  <c:v>Q2</c:v>
                </c:pt>
                <c:pt idx="2">
                  <c:v>Q3</c:v>
                </c:pt>
                <c:pt idx="3">
                  <c:v>Q4</c:v>
                </c:pt>
              </c:strCache>
            </c:strRef>
          </c:cat>
          <c:val>
            <c:numRef>
              <c:f>Quarter_Summary!$D$5:$D$9</c:f>
              <c:numCache>
                <c:formatCode>_ * #,##0_ ;_ * \-#,##0_ ;_ * "-"??_ ;_ @_ </c:formatCode>
                <c:ptCount val="4"/>
                <c:pt idx="0">
                  <c:v>6305668</c:v>
                </c:pt>
                <c:pt idx="1">
                  <c:v>4338168</c:v>
                </c:pt>
                <c:pt idx="2">
                  <c:v>10632249</c:v>
                </c:pt>
                <c:pt idx="3">
                  <c:v>10727864</c:v>
                </c:pt>
              </c:numCache>
            </c:numRef>
          </c:val>
          <c:extLst>
            <c:ext xmlns:c16="http://schemas.microsoft.com/office/drawing/2014/chart" uri="{C3380CC4-5D6E-409C-BE32-E72D297353CC}">
              <c16:uniqueId val="{00000004-537C-428A-970C-28FA13478AAA}"/>
            </c:ext>
          </c:extLst>
        </c:ser>
        <c:dLbls>
          <c:dLblPos val="ctr"/>
          <c:showLegendKey val="0"/>
          <c:showVal val="1"/>
          <c:showCatName val="0"/>
          <c:showSerName val="0"/>
          <c:showPercent val="0"/>
          <c:showBubbleSize val="0"/>
        </c:dLbls>
        <c:gapWidth val="150"/>
        <c:overlap val="100"/>
        <c:axId val="30966975"/>
        <c:axId val="30975615"/>
      </c:barChart>
      <c:catAx>
        <c:axId val="30966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30975615"/>
        <c:crosses val="autoZero"/>
        <c:auto val="1"/>
        <c:lblAlgn val="ctr"/>
        <c:lblOffset val="100"/>
        <c:noMultiLvlLbl val="0"/>
      </c:catAx>
      <c:valAx>
        <c:axId val="30975615"/>
        <c:scaling>
          <c:orientation val="minMax"/>
        </c:scaling>
        <c:delete val="0"/>
        <c:axPos val="b"/>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6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68580</xdr:colOff>
      <xdr:row>5</xdr:row>
      <xdr:rowOff>15239</xdr:rowOff>
    </xdr:from>
    <xdr:to>
      <xdr:col>7</xdr:col>
      <xdr:colOff>655320</xdr:colOff>
      <xdr:row>29</xdr:row>
      <xdr:rowOff>171717</xdr:rowOff>
    </xdr:to>
    <xdr:graphicFrame macro="">
      <xdr:nvGraphicFramePr>
        <xdr:cNvPr id="2" name="Chart 1">
          <a:extLst>
            <a:ext uri="{FF2B5EF4-FFF2-40B4-BE49-F238E27FC236}">
              <a16:creationId xmlns:a16="http://schemas.microsoft.com/office/drawing/2014/main" id="{7409B2C1-B18F-43AF-B249-3B163F086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177184</xdr:colOff>
      <xdr:row>30</xdr:row>
      <xdr:rowOff>159224</xdr:rowOff>
    </xdr:from>
    <xdr:to>
      <xdr:col>17</xdr:col>
      <xdr:colOff>1057701</xdr:colOff>
      <xdr:row>55</xdr:row>
      <xdr:rowOff>88762</xdr:rowOff>
    </xdr:to>
    <xdr:graphicFrame macro="">
      <xdr:nvGraphicFramePr>
        <xdr:cNvPr id="3" name="Chart 2">
          <a:extLst>
            <a:ext uri="{FF2B5EF4-FFF2-40B4-BE49-F238E27FC236}">
              <a16:creationId xmlns:a16="http://schemas.microsoft.com/office/drawing/2014/main" id="{5C658AC7-6AAE-4D83-944A-D284E1DF2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1314675</xdr:colOff>
      <xdr:row>57</xdr:row>
      <xdr:rowOff>6884</xdr:rowOff>
    </xdr:from>
    <xdr:to>
      <xdr:col>17</xdr:col>
      <xdr:colOff>250209</xdr:colOff>
      <xdr:row>79</xdr:row>
      <xdr:rowOff>22746</xdr:rowOff>
    </xdr:to>
    <xdr:graphicFrame macro="">
      <xdr:nvGraphicFramePr>
        <xdr:cNvPr id="4" name="Chart 3">
          <a:extLst>
            <a:ext uri="{FF2B5EF4-FFF2-40B4-BE49-F238E27FC236}">
              <a16:creationId xmlns:a16="http://schemas.microsoft.com/office/drawing/2014/main" id="{B823C457-4BDA-4F83-AD96-03CEF8848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4</xdr:row>
      <xdr:rowOff>118056</xdr:rowOff>
    </xdr:from>
    <xdr:to>
      <xdr:col>16</xdr:col>
      <xdr:colOff>160986</xdr:colOff>
      <xdr:row>29</xdr:row>
      <xdr:rowOff>171718</xdr:rowOff>
    </xdr:to>
    <xdr:graphicFrame macro="">
      <xdr:nvGraphicFramePr>
        <xdr:cNvPr id="6" name="Chart 5">
          <a:extLst>
            <a:ext uri="{FF2B5EF4-FFF2-40B4-BE49-F238E27FC236}">
              <a16:creationId xmlns:a16="http://schemas.microsoft.com/office/drawing/2014/main" id="{1FDE0000-C957-4451-A157-D070D0A19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192058</xdr:colOff>
      <xdr:row>56</xdr:row>
      <xdr:rowOff>176225</xdr:rowOff>
    </xdr:from>
    <xdr:to>
      <xdr:col>10</xdr:col>
      <xdr:colOff>1023582</xdr:colOff>
      <xdr:row>80</xdr:row>
      <xdr:rowOff>64393</xdr:rowOff>
    </xdr:to>
    <xdr:graphicFrame macro="">
      <xdr:nvGraphicFramePr>
        <xdr:cNvPr id="8" name="Chart 7">
          <a:extLst>
            <a:ext uri="{FF2B5EF4-FFF2-40B4-BE49-F238E27FC236}">
              <a16:creationId xmlns:a16="http://schemas.microsoft.com/office/drawing/2014/main" id="{4FFCA5D6-EF94-42DF-8980-47334749D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192867</xdr:colOff>
      <xdr:row>4</xdr:row>
      <xdr:rowOff>102359</xdr:rowOff>
    </xdr:from>
    <xdr:to>
      <xdr:col>18</xdr:col>
      <xdr:colOff>515972</xdr:colOff>
      <xdr:row>15</xdr:row>
      <xdr:rowOff>22746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286CDAB-6CCA-903C-0061-9DC093423C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28718" y="1808329"/>
              <a:ext cx="2484000" cy="192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9</xdr:row>
      <xdr:rowOff>102870</xdr:rowOff>
    </xdr:from>
    <xdr:to>
      <xdr:col>5</xdr:col>
      <xdr:colOff>541020</xdr:colOff>
      <xdr:row>24</xdr:row>
      <xdr:rowOff>102870</xdr:rowOff>
    </xdr:to>
    <xdr:graphicFrame macro="">
      <xdr:nvGraphicFramePr>
        <xdr:cNvPr id="2" name="Chart 1">
          <a:extLst>
            <a:ext uri="{FF2B5EF4-FFF2-40B4-BE49-F238E27FC236}">
              <a16:creationId xmlns:a16="http://schemas.microsoft.com/office/drawing/2014/main" id="{D63F540E-9064-ED8C-918F-FAFD374A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162714</xdr:rowOff>
    </xdr:from>
    <xdr:to>
      <xdr:col>16</xdr:col>
      <xdr:colOff>601980</xdr:colOff>
      <xdr:row>33</xdr:row>
      <xdr:rowOff>76200</xdr:rowOff>
    </xdr:to>
    <xdr:graphicFrame macro="">
      <xdr:nvGraphicFramePr>
        <xdr:cNvPr id="2" name="Chart 1">
          <a:extLst>
            <a:ext uri="{FF2B5EF4-FFF2-40B4-BE49-F238E27FC236}">
              <a16:creationId xmlns:a16="http://schemas.microsoft.com/office/drawing/2014/main" id="{690E4522-1B28-9CBF-A7D4-E4667D65D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10</xdr:row>
      <xdr:rowOff>179070</xdr:rowOff>
    </xdr:from>
    <xdr:to>
      <xdr:col>9</xdr:col>
      <xdr:colOff>243840</xdr:colOff>
      <xdr:row>25</xdr:row>
      <xdr:rowOff>179070</xdr:rowOff>
    </xdr:to>
    <xdr:graphicFrame macro="">
      <xdr:nvGraphicFramePr>
        <xdr:cNvPr id="5" name="Chart 4">
          <a:extLst>
            <a:ext uri="{FF2B5EF4-FFF2-40B4-BE49-F238E27FC236}">
              <a16:creationId xmlns:a16="http://schemas.microsoft.com/office/drawing/2014/main" id="{7005278D-DD15-C73F-EFF2-95521819A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148590</xdr:rowOff>
    </xdr:from>
    <xdr:to>
      <xdr:col>7</xdr:col>
      <xdr:colOff>563880</xdr:colOff>
      <xdr:row>28</xdr:row>
      <xdr:rowOff>129540</xdr:rowOff>
    </xdr:to>
    <xdr:graphicFrame macro="">
      <xdr:nvGraphicFramePr>
        <xdr:cNvPr id="2" name="Chart 1">
          <a:extLst>
            <a:ext uri="{FF2B5EF4-FFF2-40B4-BE49-F238E27FC236}">
              <a16:creationId xmlns:a16="http://schemas.microsoft.com/office/drawing/2014/main" id="{256F8104-D63C-50C0-720F-7841F886A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331304</xdr:colOff>
      <xdr:row>10</xdr:row>
      <xdr:rowOff>154609</xdr:rowOff>
    </xdr:from>
    <xdr:to>
      <xdr:col>9</xdr:col>
      <xdr:colOff>563217</xdr:colOff>
      <xdr:row>32</xdr:row>
      <xdr:rowOff>165652</xdr:rowOff>
    </xdr:to>
    <xdr:graphicFrame macro="">
      <xdr:nvGraphicFramePr>
        <xdr:cNvPr id="3" name="Chart 2">
          <a:extLst>
            <a:ext uri="{FF2B5EF4-FFF2-40B4-BE49-F238E27FC236}">
              <a16:creationId xmlns:a16="http://schemas.microsoft.com/office/drawing/2014/main" id="{6A38CC0D-A5B8-C3C4-798D-6A33EF4DC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LENTHAM" refreshedDate="46104.984157175924" createdVersion="8" refreshedVersion="8" minRefreshableVersion="3" recordCount="300" xr:uid="{91982381-F76C-4B0E-A067-121CE1302E0F}">
  <cacheSource type="worksheet">
    <worksheetSource ref="A1:M301" sheet="cleaned_data"/>
  </cacheSource>
  <cacheFields count="15">
    <cacheField name="Order_ID" numFmtId="0">
      <sharedItems/>
    </cacheField>
    <cacheField name="Order_Date" numFmtId="14">
      <sharedItems containsSemiMixedTypes="0" containsNonDate="0" containsDate="1" containsString="0" minDate="2024-01-01T00:00:00" maxDate="2025-01-01T00:00:00" count="203">
        <d v="2024-09-10T00:00:00"/>
        <d v="2024-07-18T00:00:00"/>
        <d v="2024-06-11T00:00:00"/>
        <d v="2024-01-15T00:00:00"/>
        <d v="2024-12-12T00:00:00"/>
        <d v="2024-04-05T00:00:00"/>
        <d v="2024-09-16T00:00:00"/>
        <d v="2024-09-02T00:00:00"/>
        <d v="2024-02-14T00:00:00"/>
        <d v="2024-01-16T00:00:00"/>
        <d v="2024-04-26T00:00:00"/>
        <d v="2024-08-23T00:00:00"/>
        <d v="2024-09-22T00:00:00"/>
        <d v="2024-09-15T00:00:00"/>
        <d v="2024-08-22T00:00:00"/>
        <d v="2024-10-09T00:00:00"/>
        <d v="2024-05-23T00:00:00"/>
        <d v="2024-03-22T00:00:00"/>
        <d v="2024-12-25T00:00:00"/>
        <d v="2024-08-03T00:00:00"/>
        <d v="2024-01-11T00:00:00"/>
        <d v="2024-12-26T00:00:00"/>
        <d v="2024-04-24T00:00:00"/>
        <d v="2024-06-01T00:00:00"/>
        <d v="2024-10-18T00:00:00"/>
        <d v="2024-04-15T00:00:00"/>
        <d v="2024-05-31T00:00:00"/>
        <d v="2024-03-21T00:00:00"/>
        <d v="2024-12-11T00:00:00"/>
        <d v="2024-02-03T00:00:00"/>
        <d v="2024-06-19T00:00:00"/>
        <d v="2024-04-30T00:00:00"/>
        <d v="2024-07-13T00:00:00"/>
        <d v="2024-10-19T00:00:00"/>
        <d v="2024-02-16T00:00:00"/>
        <d v="2024-02-29T00:00:00"/>
        <d v="2024-07-12T00:00:00"/>
        <d v="2024-04-16T00:00:00"/>
        <d v="2024-08-18T00:00:00"/>
        <d v="2024-02-27T00:00:00"/>
        <d v="2024-10-04T00:00:00"/>
        <d v="2024-08-17T00:00:00"/>
        <d v="2024-06-16T00:00:00"/>
        <d v="2024-05-05T00:00:00"/>
        <d v="2024-02-08T00:00:00"/>
        <d v="2024-09-13T00:00:00"/>
        <d v="2024-06-05T00:00:00"/>
        <d v="2024-01-17T00:00:00"/>
        <d v="2024-01-25T00:00:00"/>
        <d v="2024-10-02T00:00:00"/>
        <d v="2024-11-26T00:00:00"/>
        <d v="2024-10-30T00:00:00"/>
        <d v="2024-11-09T00:00:00"/>
        <d v="2024-12-17T00:00:00"/>
        <d v="2024-06-21T00:00:00"/>
        <d v="2024-09-18T00:00:00"/>
        <d v="2024-09-20T00:00:00"/>
        <d v="2024-05-10T00:00:00"/>
        <d v="2024-08-15T00:00:00"/>
        <d v="2024-11-14T00:00:00"/>
        <d v="2024-12-04T00:00:00"/>
        <d v="2024-09-27T00:00:00"/>
        <d v="2024-12-15T00:00:00"/>
        <d v="2024-10-06T00:00:00"/>
        <d v="2024-10-03T00:00:00"/>
        <d v="2024-04-14T00:00:00"/>
        <d v="2024-12-30T00:00:00"/>
        <d v="2024-10-23T00:00:00"/>
        <d v="2024-11-18T00:00:00"/>
        <d v="2024-02-07T00:00:00"/>
        <d v="2024-03-18T00:00:00"/>
        <d v="2024-12-18T00:00:00"/>
        <d v="2024-05-17T00:00:00"/>
        <d v="2024-03-27T00:00:00"/>
        <d v="2024-10-14T00:00:00"/>
        <d v="2024-05-12T00:00:00"/>
        <d v="2024-05-07T00:00:00"/>
        <d v="2024-11-06T00:00:00"/>
        <d v="2024-07-03T00:00:00"/>
        <d v="2024-02-04T00:00:00"/>
        <d v="2024-01-29T00:00:00"/>
        <d v="2024-02-18T00:00:00"/>
        <d v="2024-06-18T00:00:00"/>
        <d v="2024-02-10T00:00:00"/>
        <d v="2024-01-22T00:00:00"/>
        <d v="2024-03-07T00:00:00"/>
        <d v="2024-05-13T00:00:00"/>
        <d v="2024-06-29T00:00:00"/>
        <d v="2024-12-31T00:00:00"/>
        <d v="2024-01-31T00:00:00"/>
        <d v="2024-12-06T00:00:00"/>
        <d v="2024-06-09T00:00:00"/>
        <d v="2024-02-23T00:00:00"/>
        <d v="2024-07-08T00:00:00"/>
        <d v="2024-01-23T00:00:00"/>
        <d v="2024-06-15T00:00:00"/>
        <d v="2024-09-29T00:00:00"/>
        <d v="2024-12-29T00:00:00"/>
        <d v="2024-10-05T00:00:00"/>
        <d v="2024-01-21T00:00:00"/>
        <d v="2024-09-26T00:00:00"/>
        <d v="2024-08-19T00:00:00"/>
        <d v="2024-05-09T00:00:00"/>
        <d v="2024-12-03T00:00:00"/>
        <d v="2024-07-09T00:00:00"/>
        <d v="2024-07-31T00:00:00"/>
        <d v="2024-07-30T00:00:00"/>
        <d v="2024-09-05T00:00:00"/>
        <d v="2024-03-17T00:00:00"/>
        <d v="2024-11-28T00:00:00"/>
        <d v="2024-09-30T00:00:00"/>
        <d v="2024-12-09T00:00:00"/>
        <d v="2024-04-19T00:00:00"/>
        <d v="2024-07-20T00:00:00"/>
        <d v="2024-03-26T00:00:00"/>
        <d v="2024-11-15T00:00:00"/>
        <d v="2024-12-27T00:00:00"/>
        <d v="2024-12-22T00:00:00"/>
        <d v="2024-05-03T00:00:00"/>
        <d v="2024-06-10T00:00:00"/>
        <d v="2024-05-11T00:00:00"/>
        <d v="2024-04-25T00:00:00"/>
        <d v="2024-02-28T00:00:00"/>
        <d v="2024-02-22T00:00:00"/>
        <d v="2024-01-05T00:00:00"/>
        <d v="2024-07-26T00:00:00"/>
        <d v="2024-06-03T00:00:00"/>
        <d v="2024-03-30T00:00:00"/>
        <d v="2024-05-18T00:00:00"/>
        <d v="2024-02-05T00:00:00"/>
        <d v="2024-03-20T00:00:00"/>
        <d v="2024-10-17T00:00:00"/>
        <d v="2024-07-02T00:00:00"/>
        <d v="2024-12-02T00:00:00"/>
        <d v="2024-08-13T00:00:00"/>
        <d v="2024-09-19T00:00:00"/>
        <d v="2024-05-16T00:00:00"/>
        <d v="2024-10-01T00:00:00"/>
        <d v="2024-08-06T00:00:00"/>
        <d v="2024-05-06T00:00:00"/>
        <d v="2024-11-24T00:00:00"/>
        <d v="2024-05-22T00:00:00"/>
        <d v="2024-10-16T00:00:00"/>
        <d v="2024-10-10T00:00:00"/>
        <d v="2024-12-07T00:00:00"/>
        <d v="2024-10-29T00:00:00"/>
        <d v="2024-04-13T00:00:00"/>
        <d v="2024-06-27T00:00:00"/>
        <d v="2024-01-12T00:00:00"/>
        <d v="2024-11-12T00:00:00"/>
        <d v="2024-08-10T00:00:00"/>
        <d v="2024-12-28T00:00:00"/>
        <d v="2024-03-02T00:00:00"/>
        <d v="2024-01-20T00:00:00"/>
        <d v="2024-07-23T00:00:00"/>
        <d v="2024-09-24T00:00:00"/>
        <d v="2024-01-27T00:00:00"/>
        <d v="2024-10-25T00:00:00"/>
        <d v="2024-06-04T00:00:00"/>
        <d v="2024-07-19T00:00:00"/>
        <d v="2024-02-21T00:00:00"/>
        <d v="2024-09-17T00:00:00"/>
        <d v="2024-01-19T00:00:00"/>
        <d v="2024-10-12T00:00:00"/>
        <d v="2024-10-27T00:00:00"/>
        <d v="2024-09-07T00:00:00"/>
        <d v="2024-03-29T00:00:00"/>
        <d v="2024-12-16T00:00:00"/>
        <d v="2024-09-06T00:00:00"/>
        <d v="2024-11-03T00:00:00"/>
        <d v="2024-10-15T00:00:00"/>
        <d v="2024-10-28T00:00:00"/>
        <d v="2024-03-06T00:00:00"/>
        <d v="2024-05-04T00:00:00"/>
        <d v="2024-01-01T00:00:00"/>
        <d v="2024-08-11T00:00:00"/>
        <d v="2024-10-07T00:00:00"/>
        <d v="2024-04-21T00:00:00"/>
        <d v="2024-04-04T00:00:00"/>
        <d v="2024-04-22T00:00:00"/>
        <d v="2024-04-09T00:00:00"/>
        <d v="2024-02-15T00:00:00"/>
        <d v="2024-05-02T00:00:00"/>
        <d v="2024-07-05T00:00:00"/>
        <d v="2024-07-01T00:00:00"/>
        <d v="2024-10-08T00:00:00"/>
        <d v="2024-07-11T00:00:00"/>
        <d v="2024-04-10T00:00:00"/>
        <d v="2024-04-03T00:00:00"/>
        <d v="2024-03-13T00:00:00"/>
        <d v="2024-11-04T00:00:00"/>
        <d v="2024-11-20T00:00:00"/>
        <d v="2024-06-14T00:00:00"/>
        <d v="2024-07-21T00:00:00"/>
        <d v="2024-09-23T00:00:00"/>
        <d v="2024-08-12T00:00:00"/>
        <d v="2024-03-09T00:00:00"/>
        <d v="2024-04-02T00:00:00"/>
        <d v="2024-08-05T00:00:00"/>
        <d v="2024-08-14T00:00:00"/>
        <d v="2024-08-26T00:00:00"/>
        <d v="2024-04-20T00:00:00"/>
        <d v="2024-07-10T00:00:00"/>
      </sharedItems>
      <fieldGroup par="14"/>
    </cacheField>
    <cacheField name="Region" numFmtId="0">
      <sharedItems count="5">
        <s v="South"/>
        <s v="East"/>
        <s v="North"/>
        <s v="West"/>
        <s v="Unknown"/>
      </sharedItems>
    </cacheField>
    <cacheField name="City" numFmtId="0">
      <sharedItems/>
    </cacheField>
    <cacheField name="Salesman" numFmtId="0">
      <sharedItems count="6">
        <s v="Priya Mehta"/>
        <s v="Rahul Sharma"/>
        <s v="Karan Singh"/>
        <s v="Unknown"/>
        <s v="Neha Gupta"/>
        <s v="Amit Verma"/>
      </sharedItems>
    </cacheField>
    <cacheField name="Category" numFmtId="0">
      <sharedItems count="3">
        <s v="Electronics"/>
        <s v="Office Supplies"/>
        <s v="Furniture"/>
      </sharedItems>
    </cacheField>
    <cacheField name="Sub_Category" numFmtId="0">
      <sharedItems count="9">
        <s v="Mobile"/>
        <s v="Pen"/>
        <s v="Stapler"/>
        <s v="Cabinet"/>
        <s v="Table"/>
        <s v="Laptop"/>
        <s v="Notebook"/>
        <s v="Printer"/>
        <s v="Chair"/>
      </sharedItems>
    </cacheField>
    <cacheField name="Product" numFmtId="0">
      <sharedItems/>
    </cacheField>
    <cacheField name="Units_Sold" numFmtId="0">
      <sharedItems containsSemiMixedTypes="0" containsString="0" containsNumber="1" containsInteger="1" minValue="1" maxValue="20"/>
    </cacheField>
    <cacheField name="Unit_Price" numFmtId="165">
      <sharedItems containsSemiMixedTypes="0" containsString="0" containsNumber="1" containsInteger="1" minValue="338" maxValue="49653"/>
    </cacheField>
    <cacheField name="Total_Revenue" numFmtId="165">
      <sharedItems containsSemiMixedTypes="0" containsString="0" containsNumber="1" containsInteger="1" minValue="1867" maxValue="984280"/>
    </cacheField>
    <cacheField name="Month_Year" numFmtId="0">
      <sharedItems/>
    </cacheField>
    <cacheField name="Quarter" numFmtId="0">
      <sharedItems count="4">
        <s v="Q3"/>
        <s v="Q2"/>
        <s v="Q1"/>
        <s v="Q4"/>
      </sharedItems>
    </cacheField>
    <cacheField name="Days (Order_Date)" numFmtId="0" databaseField="0">
      <fieldGroup base="1">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1">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089296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
    <x v="0"/>
    <x v="0"/>
    <s v="Hyderabad"/>
    <x v="0"/>
    <x v="0"/>
    <x v="0"/>
    <s v="iPhone"/>
    <n v="16"/>
    <n v="42902"/>
    <n v="686432"/>
    <s v="Sep-2024"/>
    <x v="0"/>
  </r>
  <r>
    <s v="ORD1001"/>
    <x v="1"/>
    <x v="1"/>
    <s v="Kolkata"/>
    <x v="0"/>
    <x v="0"/>
    <x v="0"/>
    <s v="iPhone"/>
    <n v="20"/>
    <n v="338"/>
    <n v="6760"/>
    <s v="Jul-2024"/>
    <x v="0"/>
  </r>
  <r>
    <s v="ORD1002"/>
    <x v="2"/>
    <x v="1"/>
    <s v="Bhubaneswar"/>
    <x v="1"/>
    <x v="1"/>
    <x v="1"/>
    <s v="Gel Pen"/>
    <n v="1"/>
    <n v="1867"/>
    <n v="1867"/>
    <s v="Jun-2024"/>
    <x v="1"/>
  </r>
  <r>
    <s v="ORD1003"/>
    <x v="3"/>
    <x v="2"/>
    <s v="Jaipur"/>
    <x v="2"/>
    <x v="1"/>
    <x v="1"/>
    <s v="Ball Pen"/>
    <n v="8"/>
    <n v="28897"/>
    <n v="231176"/>
    <s v="Jan-2024"/>
    <x v="2"/>
  </r>
  <r>
    <s v="ORD1004"/>
    <x v="4"/>
    <x v="1"/>
    <s v="Patna"/>
    <x v="3"/>
    <x v="0"/>
    <x v="0"/>
    <s v="iPhone"/>
    <n v="15"/>
    <n v="19191"/>
    <n v="287865"/>
    <s v="Dec-2024"/>
    <x v="3"/>
  </r>
  <r>
    <s v="ORD1005"/>
    <x v="5"/>
    <x v="2"/>
    <s v="Jaipur"/>
    <x v="4"/>
    <x v="1"/>
    <x v="2"/>
    <s v="Small Stapler"/>
    <n v="4"/>
    <n v="48902"/>
    <n v="195608"/>
    <s v="Apr-2024"/>
    <x v="1"/>
  </r>
  <r>
    <s v="ORD1006"/>
    <x v="6"/>
    <x v="3"/>
    <s v="Ahmedabad"/>
    <x v="5"/>
    <x v="1"/>
    <x v="2"/>
    <s v="Small Stapler"/>
    <n v="10"/>
    <n v="18822"/>
    <n v="188220"/>
    <s v="Sep-2024"/>
    <x v="0"/>
  </r>
  <r>
    <s v="ORD1007"/>
    <x v="7"/>
    <x v="1"/>
    <s v="Patna"/>
    <x v="5"/>
    <x v="2"/>
    <x v="3"/>
    <s v="Wood Cabinet"/>
    <n v="13"/>
    <n v="27352"/>
    <n v="355576"/>
    <s v="Sep-2024"/>
    <x v="0"/>
  </r>
  <r>
    <s v="ORD1008"/>
    <x v="8"/>
    <x v="0"/>
    <s v="Chennai"/>
    <x v="0"/>
    <x v="1"/>
    <x v="2"/>
    <s v="Small Stapler"/>
    <n v="17"/>
    <n v="7273"/>
    <n v="123641"/>
    <s v="Feb-2024"/>
    <x v="2"/>
  </r>
  <r>
    <s v="ORD1009"/>
    <x v="9"/>
    <x v="0"/>
    <s v="Hyderabad"/>
    <x v="0"/>
    <x v="2"/>
    <x v="4"/>
    <s v="Office Desk"/>
    <n v="2"/>
    <n v="20419"/>
    <n v="40838"/>
    <s v="Jan-2024"/>
    <x v="2"/>
  </r>
  <r>
    <s v="ORD1010"/>
    <x v="10"/>
    <x v="1"/>
    <s v="Patna"/>
    <x v="1"/>
    <x v="0"/>
    <x v="5"/>
    <s v="Lenovo Laptop"/>
    <n v="7"/>
    <n v="35564"/>
    <n v="248948"/>
    <s v="Apr-2024"/>
    <x v="1"/>
  </r>
  <r>
    <s v="ORD1011"/>
    <x v="11"/>
    <x v="0"/>
    <s v="Chennai"/>
    <x v="4"/>
    <x v="1"/>
    <x v="6"/>
    <s v="Classmate Notebook"/>
    <n v="18"/>
    <n v="40107"/>
    <n v="721926"/>
    <s v="Aug-2024"/>
    <x v="0"/>
  </r>
  <r>
    <s v="ORD1012"/>
    <x v="12"/>
    <x v="2"/>
    <s v="Jaipur"/>
    <x v="2"/>
    <x v="1"/>
    <x v="2"/>
    <s v="Small Stapler"/>
    <n v="7"/>
    <n v="28124"/>
    <n v="196868"/>
    <s v="Sep-2024"/>
    <x v="0"/>
  </r>
  <r>
    <s v="ORD1013"/>
    <x v="13"/>
    <x v="2"/>
    <s v="Jaipur"/>
    <x v="0"/>
    <x v="2"/>
    <x v="3"/>
    <s v="Wood Cabinet"/>
    <n v="16"/>
    <n v="23582"/>
    <n v="377312"/>
    <s v="Sep-2024"/>
    <x v="0"/>
  </r>
  <r>
    <s v="ORD1014"/>
    <x v="14"/>
    <x v="1"/>
    <s v="Bhubaneswar"/>
    <x v="2"/>
    <x v="0"/>
    <x v="7"/>
    <s v="Canon Printer"/>
    <n v="1"/>
    <n v="15247"/>
    <n v="15247"/>
    <s v="Aug-2024"/>
    <x v="0"/>
  </r>
  <r>
    <s v="ORD1015"/>
    <x v="15"/>
    <x v="0"/>
    <s v="Unknown"/>
    <x v="4"/>
    <x v="1"/>
    <x v="1"/>
    <s v="Gel Pen"/>
    <n v="2"/>
    <n v="44313"/>
    <n v="88626"/>
    <s v="Oct-2024"/>
    <x v="3"/>
  </r>
  <r>
    <s v="ORD1016"/>
    <x v="16"/>
    <x v="2"/>
    <s v="Delhi"/>
    <x v="5"/>
    <x v="0"/>
    <x v="0"/>
    <s v="iPhone"/>
    <n v="9"/>
    <n v="7375"/>
    <n v="66375"/>
    <s v="May-2024"/>
    <x v="1"/>
  </r>
  <r>
    <s v="ORD1017"/>
    <x v="17"/>
    <x v="0"/>
    <s v="Chennai"/>
    <x v="4"/>
    <x v="2"/>
    <x v="8"/>
    <s v="Office Chair"/>
    <n v="17"/>
    <n v="11219"/>
    <n v="190723"/>
    <s v="Mar-2024"/>
    <x v="2"/>
  </r>
  <r>
    <s v="ORD1018"/>
    <x v="18"/>
    <x v="3"/>
    <s v="Ahmedabad"/>
    <x v="4"/>
    <x v="1"/>
    <x v="6"/>
    <s v="Classmate Notebook"/>
    <n v="16"/>
    <n v="31249"/>
    <n v="499984"/>
    <s v="Dec-2024"/>
    <x v="3"/>
  </r>
  <r>
    <s v="ORD1019"/>
    <x v="19"/>
    <x v="2"/>
    <s v="Delhi"/>
    <x v="5"/>
    <x v="2"/>
    <x v="4"/>
    <s v="Office Desk"/>
    <n v="9"/>
    <n v="7327"/>
    <n v="65943"/>
    <s v="Aug-2024"/>
    <x v="0"/>
  </r>
  <r>
    <s v="ORD1020"/>
    <x v="20"/>
    <x v="3"/>
    <s v="Ahmedabad"/>
    <x v="5"/>
    <x v="1"/>
    <x v="1"/>
    <s v="Ball Pen"/>
    <n v="1"/>
    <n v="26238"/>
    <n v="26238"/>
    <s v="Jan-2024"/>
    <x v="2"/>
  </r>
  <r>
    <s v="ORD1021"/>
    <x v="21"/>
    <x v="0"/>
    <s v="Bangalore"/>
    <x v="2"/>
    <x v="1"/>
    <x v="1"/>
    <s v="Ball Pen"/>
    <n v="14"/>
    <n v="35897"/>
    <n v="502558"/>
    <s v="Dec-2024"/>
    <x v="3"/>
  </r>
  <r>
    <s v="ORD1022"/>
    <x v="22"/>
    <x v="0"/>
    <s v="Hyderabad"/>
    <x v="2"/>
    <x v="1"/>
    <x v="2"/>
    <s v="Small Stapler"/>
    <n v="1"/>
    <n v="26080"/>
    <n v="26080"/>
    <s v="Apr-2024"/>
    <x v="1"/>
  </r>
  <r>
    <s v="ORD1023"/>
    <x v="23"/>
    <x v="3"/>
    <s v="Ahmedabad"/>
    <x v="5"/>
    <x v="1"/>
    <x v="6"/>
    <s v="Classmate Notebook"/>
    <n v="7"/>
    <n v="3309"/>
    <n v="23163"/>
    <s v="Jun-2024"/>
    <x v="1"/>
  </r>
  <r>
    <s v="ORD1024"/>
    <x v="17"/>
    <x v="3"/>
    <s v="Mumbai"/>
    <x v="0"/>
    <x v="0"/>
    <x v="0"/>
    <s v="Samsung Phone"/>
    <n v="19"/>
    <n v="16738"/>
    <n v="318022"/>
    <s v="Mar-2024"/>
    <x v="2"/>
  </r>
  <r>
    <s v="ORD1025"/>
    <x v="24"/>
    <x v="0"/>
    <s v="Bangalore"/>
    <x v="0"/>
    <x v="1"/>
    <x v="1"/>
    <s v="Gel Pen"/>
    <n v="6"/>
    <n v="46338"/>
    <n v="278028"/>
    <s v="Oct-2024"/>
    <x v="3"/>
  </r>
  <r>
    <s v="ORD1026"/>
    <x v="25"/>
    <x v="4"/>
    <s v="Jaipur"/>
    <x v="2"/>
    <x v="0"/>
    <x v="0"/>
    <s v="iPhone"/>
    <n v="14"/>
    <n v="38958"/>
    <n v="545412"/>
    <s v="Apr-2024"/>
    <x v="1"/>
  </r>
  <r>
    <s v="ORD1027"/>
    <x v="26"/>
    <x v="0"/>
    <s v="Chennai"/>
    <x v="2"/>
    <x v="0"/>
    <x v="7"/>
    <s v="Canon Printer"/>
    <n v="16"/>
    <n v="1327"/>
    <n v="21232"/>
    <s v="May-2024"/>
    <x v="1"/>
  </r>
  <r>
    <s v="ORD1028"/>
    <x v="27"/>
    <x v="3"/>
    <s v="Ahmedabad"/>
    <x v="5"/>
    <x v="2"/>
    <x v="4"/>
    <s v="Study Table"/>
    <n v="11"/>
    <n v="37119"/>
    <n v="408309"/>
    <s v="Mar-2024"/>
    <x v="2"/>
  </r>
  <r>
    <s v="ORD1029"/>
    <x v="28"/>
    <x v="0"/>
    <s v="Chennai"/>
    <x v="1"/>
    <x v="2"/>
    <x v="8"/>
    <s v="Plastic Chair"/>
    <n v="13"/>
    <n v="36089"/>
    <n v="469157"/>
    <s v="Dec-2024"/>
    <x v="3"/>
  </r>
  <r>
    <s v="ORD1030"/>
    <x v="29"/>
    <x v="3"/>
    <s v="Ahmedabad"/>
    <x v="1"/>
    <x v="1"/>
    <x v="6"/>
    <s v="Classmate Notebook"/>
    <n v="3"/>
    <n v="8917"/>
    <n v="26751"/>
    <s v="Feb-2024"/>
    <x v="2"/>
  </r>
  <r>
    <s v="ORD1031"/>
    <x v="30"/>
    <x v="0"/>
    <s v="Unknown"/>
    <x v="2"/>
    <x v="1"/>
    <x v="1"/>
    <s v="Ball Pen"/>
    <n v="17"/>
    <n v="16930"/>
    <n v="287810"/>
    <s v="Jun-2024"/>
    <x v="1"/>
  </r>
  <r>
    <s v="ORD1032"/>
    <x v="31"/>
    <x v="3"/>
    <s v="Pune"/>
    <x v="2"/>
    <x v="2"/>
    <x v="8"/>
    <s v="Plastic Chair"/>
    <n v="16"/>
    <n v="9070"/>
    <n v="145120"/>
    <s v="Apr-2024"/>
    <x v="1"/>
  </r>
  <r>
    <s v="ORD1033"/>
    <x v="32"/>
    <x v="2"/>
    <s v="Jaipur"/>
    <x v="5"/>
    <x v="0"/>
    <x v="0"/>
    <s v="iPhone"/>
    <n v="5"/>
    <n v="22541"/>
    <n v="112705"/>
    <s v="Jul-2024"/>
    <x v="0"/>
  </r>
  <r>
    <s v="ORD1034"/>
    <x v="33"/>
    <x v="2"/>
    <s v="Chandigarh"/>
    <x v="2"/>
    <x v="1"/>
    <x v="6"/>
    <s v="Classmate Notebook"/>
    <n v="8"/>
    <n v="37291"/>
    <n v="298328"/>
    <s v="Oct-2024"/>
    <x v="3"/>
  </r>
  <r>
    <s v="ORD1035"/>
    <x v="14"/>
    <x v="2"/>
    <s v="Jaipur"/>
    <x v="4"/>
    <x v="2"/>
    <x v="4"/>
    <s v="Study Table"/>
    <n v="4"/>
    <n v="3198"/>
    <n v="12792"/>
    <s v="Aug-2024"/>
    <x v="0"/>
  </r>
  <r>
    <s v="ORD1036"/>
    <x v="34"/>
    <x v="3"/>
    <s v="Mumbai"/>
    <x v="0"/>
    <x v="1"/>
    <x v="2"/>
    <s v="Small Stapler"/>
    <n v="4"/>
    <n v="2822"/>
    <n v="11288"/>
    <s v="Feb-2024"/>
    <x v="2"/>
  </r>
  <r>
    <s v="ORD1037"/>
    <x v="35"/>
    <x v="0"/>
    <s v="Bangalore"/>
    <x v="0"/>
    <x v="1"/>
    <x v="6"/>
    <s v="Classmate Notebook"/>
    <n v="6"/>
    <n v="44822"/>
    <n v="268932"/>
    <s v="Feb-2024"/>
    <x v="2"/>
  </r>
  <r>
    <s v="ORD1038"/>
    <x v="36"/>
    <x v="0"/>
    <s v="Bangalore"/>
    <x v="2"/>
    <x v="1"/>
    <x v="1"/>
    <s v="Ball Pen"/>
    <n v="10"/>
    <n v="36258"/>
    <n v="362580"/>
    <s v="Jul-2024"/>
    <x v="0"/>
  </r>
  <r>
    <s v="ORD1039"/>
    <x v="37"/>
    <x v="3"/>
    <s v="Ahmedabad"/>
    <x v="4"/>
    <x v="2"/>
    <x v="4"/>
    <s v="Study Table"/>
    <n v="2"/>
    <n v="1986"/>
    <n v="3972"/>
    <s v="Apr-2024"/>
    <x v="1"/>
  </r>
  <r>
    <s v="ORD1040"/>
    <x v="38"/>
    <x v="2"/>
    <s v="Jaipur"/>
    <x v="0"/>
    <x v="1"/>
    <x v="2"/>
    <s v="Small Stapler"/>
    <n v="11"/>
    <n v="26319"/>
    <n v="289509"/>
    <s v="Aug-2024"/>
    <x v="0"/>
  </r>
  <r>
    <s v="ORD1041"/>
    <x v="39"/>
    <x v="2"/>
    <s v="Delhi"/>
    <x v="4"/>
    <x v="2"/>
    <x v="3"/>
    <s v="Wood Cabinet"/>
    <n v="7"/>
    <n v="40688"/>
    <n v="284816"/>
    <s v="Feb-2024"/>
    <x v="2"/>
  </r>
  <r>
    <s v="ORD1042"/>
    <x v="40"/>
    <x v="1"/>
    <s v="Patna"/>
    <x v="5"/>
    <x v="2"/>
    <x v="4"/>
    <s v="Study Table"/>
    <n v="10"/>
    <n v="13255"/>
    <n v="132550"/>
    <s v="Oct-2024"/>
    <x v="3"/>
  </r>
  <r>
    <s v="ORD1043"/>
    <x v="41"/>
    <x v="0"/>
    <s v="Chennai"/>
    <x v="1"/>
    <x v="0"/>
    <x v="0"/>
    <s v="iPhone"/>
    <n v="19"/>
    <n v="42370"/>
    <n v="805030"/>
    <s v="Aug-2024"/>
    <x v="0"/>
  </r>
  <r>
    <s v="ORD1044"/>
    <x v="42"/>
    <x v="3"/>
    <s v="Mumbai"/>
    <x v="5"/>
    <x v="2"/>
    <x v="4"/>
    <s v="Study Table"/>
    <n v="11"/>
    <n v="38145"/>
    <n v="419595"/>
    <s v="Jun-2024"/>
    <x v="1"/>
  </r>
  <r>
    <s v="ORD1045"/>
    <x v="43"/>
    <x v="3"/>
    <s v="Mumbai"/>
    <x v="5"/>
    <x v="2"/>
    <x v="8"/>
    <s v="Office Chair"/>
    <n v="1"/>
    <n v="16175"/>
    <n v="16175"/>
    <s v="May-2024"/>
    <x v="1"/>
  </r>
  <r>
    <s v="ORD1046"/>
    <x v="44"/>
    <x v="1"/>
    <s v="Kolkata"/>
    <x v="1"/>
    <x v="2"/>
    <x v="3"/>
    <s v="Wood Cabinet"/>
    <n v="1"/>
    <n v="19259"/>
    <n v="19259"/>
    <s v="Feb-2024"/>
    <x v="2"/>
  </r>
  <r>
    <s v="ORD1047"/>
    <x v="45"/>
    <x v="3"/>
    <s v="Pune"/>
    <x v="4"/>
    <x v="2"/>
    <x v="8"/>
    <s v="Office Chair"/>
    <n v="3"/>
    <n v="33575"/>
    <n v="100725"/>
    <s v="Sep-2024"/>
    <x v="0"/>
  </r>
  <r>
    <s v="ORD1048"/>
    <x v="46"/>
    <x v="0"/>
    <s v="Bangalore"/>
    <x v="1"/>
    <x v="0"/>
    <x v="5"/>
    <s v="Dell Laptop"/>
    <n v="17"/>
    <n v="39645"/>
    <n v="673965"/>
    <s v="Jun-2024"/>
    <x v="1"/>
  </r>
  <r>
    <s v="ORD1049"/>
    <x v="47"/>
    <x v="3"/>
    <s v="Mumbai"/>
    <x v="4"/>
    <x v="0"/>
    <x v="5"/>
    <s v="Lenovo Laptop"/>
    <n v="20"/>
    <n v="44253"/>
    <n v="885060"/>
    <s v="Jan-2024"/>
    <x v="2"/>
  </r>
  <r>
    <s v="ORD1050"/>
    <x v="48"/>
    <x v="0"/>
    <s v="Bangalore"/>
    <x v="5"/>
    <x v="2"/>
    <x v="4"/>
    <s v="Study Table"/>
    <n v="9"/>
    <n v="4421"/>
    <n v="39789"/>
    <s v="Jan-2024"/>
    <x v="2"/>
  </r>
  <r>
    <s v="ORD1051"/>
    <x v="49"/>
    <x v="1"/>
    <s v="Bhubaneswar"/>
    <x v="0"/>
    <x v="1"/>
    <x v="6"/>
    <s v="Classmate Notebook"/>
    <n v="1"/>
    <n v="26133"/>
    <n v="26133"/>
    <s v="Oct-2024"/>
    <x v="3"/>
  </r>
  <r>
    <s v="ORD1052"/>
    <x v="50"/>
    <x v="3"/>
    <s v="Mumbai"/>
    <x v="0"/>
    <x v="2"/>
    <x v="4"/>
    <s v="Study Table"/>
    <n v="19"/>
    <n v="1439"/>
    <n v="27341"/>
    <s v="Nov-2024"/>
    <x v="3"/>
  </r>
  <r>
    <s v="ORD1053"/>
    <x v="51"/>
    <x v="2"/>
    <s v="Chandigarh"/>
    <x v="5"/>
    <x v="2"/>
    <x v="3"/>
    <s v="Wood Cabinet"/>
    <n v="5"/>
    <n v="17181"/>
    <n v="85905"/>
    <s v="Oct-2024"/>
    <x v="3"/>
  </r>
  <r>
    <s v="ORD1054"/>
    <x v="52"/>
    <x v="3"/>
    <s v="Pune"/>
    <x v="1"/>
    <x v="1"/>
    <x v="6"/>
    <s v="Classmate Notebook"/>
    <n v="8"/>
    <n v="32050"/>
    <n v="256400"/>
    <s v="Nov-2024"/>
    <x v="3"/>
  </r>
  <r>
    <s v="ORD1055"/>
    <x v="53"/>
    <x v="2"/>
    <s v="Delhi"/>
    <x v="5"/>
    <x v="1"/>
    <x v="6"/>
    <s v="Classmate Notebook"/>
    <n v="8"/>
    <n v="20711"/>
    <n v="165688"/>
    <s v="Dec-2024"/>
    <x v="3"/>
  </r>
  <r>
    <s v="ORD1056"/>
    <x v="54"/>
    <x v="1"/>
    <s v="Patna"/>
    <x v="2"/>
    <x v="2"/>
    <x v="8"/>
    <s v="Plastic Chair"/>
    <n v="20"/>
    <n v="47924"/>
    <n v="958480"/>
    <s v="Jun-2024"/>
    <x v="1"/>
  </r>
  <r>
    <s v="ORD1057"/>
    <x v="55"/>
    <x v="3"/>
    <s v="Ahmedabad"/>
    <x v="4"/>
    <x v="0"/>
    <x v="5"/>
    <s v="Hp Laptop"/>
    <n v="6"/>
    <n v="33730"/>
    <n v="202380"/>
    <s v="Sep-2024"/>
    <x v="0"/>
  </r>
  <r>
    <s v="ORD1058"/>
    <x v="15"/>
    <x v="0"/>
    <s v="Chennai"/>
    <x v="4"/>
    <x v="2"/>
    <x v="3"/>
    <s v="Wood Cabinet"/>
    <n v="6"/>
    <n v="46159"/>
    <n v="276954"/>
    <s v="Oct-2024"/>
    <x v="3"/>
  </r>
  <r>
    <s v="ORD1059"/>
    <x v="56"/>
    <x v="1"/>
    <s v="Patna"/>
    <x v="2"/>
    <x v="0"/>
    <x v="5"/>
    <s v="Lenovo Laptop"/>
    <n v="13"/>
    <n v="11752"/>
    <n v="152776"/>
    <s v="Sep-2024"/>
    <x v="0"/>
  </r>
  <r>
    <s v="ORD1060"/>
    <x v="0"/>
    <x v="0"/>
    <s v="Chennai"/>
    <x v="0"/>
    <x v="2"/>
    <x v="8"/>
    <s v="Office Chair"/>
    <n v="12"/>
    <n v="25364"/>
    <n v="304368"/>
    <s v="Sep-2024"/>
    <x v="0"/>
  </r>
  <r>
    <s v="ORD1061"/>
    <x v="57"/>
    <x v="0"/>
    <s v="Hyderabad"/>
    <x v="1"/>
    <x v="1"/>
    <x v="1"/>
    <s v="Gel Pen"/>
    <n v="9"/>
    <n v="48493"/>
    <n v="436437"/>
    <s v="May-2024"/>
    <x v="1"/>
  </r>
  <r>
    <s v="ORD1062"/>
    <x v="58"/>
    <x v="2"/>
    <s v="Delhi"/>
    <x v="5"/>
    <x v="1"/>
    <x v="2"/>
    <s v="Small Stapler"/>
    <n v="13"/>
    <n v="28571"/>
    <n v="371423"/>
    <s v="Aug-2024"/>
    <x v="0"/>
  </r>
  <r>
    <s v="ORD1063"/>
    <x v="59"/>
    <x v="1"/>
    <s v="Kolkata"/>
    <x v="0"/>
    <x v="2"/>
    <x v="4"/>
    <s v="Study Table"/>
    <n v="7"/>
    <n v="8011"/>
    <n v="56077"/>
    <s v="Nov-2024"/>
    <x v="3"/>
  </r>
  <r>
    <s v="ORD1064"/>
    <x v="60"/>
    <x v="1"/>
    <s v="Patna"/>
    <x v="4"/>
    <x v="1"/>
    <x v="6"/>
    <s v="Classmate Notebook"/>
    <n v="9"/>
    <n v="16467"/>
    <n v="148203"/>
    <s v="Dec-2024"/>
    <x v="3"/>
  </r>
  <r>
    <s v="ORD1065"/>
    <x v="61"/>
    <x v="1"/>
    <s v="Patna"/>
    <x v="0"/>
    <x v="1"/>
    <x v="1"/>
    <s v="Gel Pen"/>
    <n v="19"/>
    <n v="1578"/>
    <n v="29982"/>
    <s v="Sep-2024"/>
    <x v="0"/>
  </r>
  <r>
    <s v="ORD1066"/>
    <x v="25"/>
    <x v="2"/>
    <s v="Chandigarh"/>
    <x v="5"/>
    <x v="1"/>
    <x v="1"/>
    <s v="Ball Pen"/>
    <n v="10"/>
    <n v="9926"/>
    <n v="99260"/>
    <s v="Apr-2024"/>
    <x v="1"/>
  </r>
  <r>
    <s v="ORD1067"/>
    <x v="62"/>
    <x v="0"/>
    <s v="Chennai"/>
    <x v="0"/>
    <x v="2"/>
    <x v="3"/>
    <s v="Wood Cabinet"/>
    <n v="6"/>
    <n v="35941"/>
    <n v="215646"/>
    <s v="Dec-2024"/>
    <x v="3"/>
  </r>
  <r>
    <s v="ORD1068"/>
    <x v="33"/>
    <x v="3"/>
    <s v="Pune"/>
    <x v="0"/>
    <x v="2"/>
    <x v="8"/>
    <s v="Office Chair"/>
    <n v="7"/>
    <n v="18815"/>
    <n v="131705"/>
    <s v="Oct-2024"/>
    <x v="3"/>
  </r>
  <r>
    <s v="ORD1069"/>
    <x v="63"/>
    <x v="2"/>
    <s v="Delhi"/>
    <x v="4"/>
    <x v="0"/>
    <x v="7"/>
    <s v="Hp Printer"/>
    <n v="5"/>
    <n v="5127"/>
    <n v="25635"/>
    <s v="Oct-2024"/>
    <x v="3"/>
  </r>
  <r>
    <s v="ORD1070"/>
    <x v="61"/>
    <x v="3"/>
    <s v="Ahmedabad"/>
    <x v="4"/>
    <x v="2"/>
    <x v="4"/>
    <s v="Office Desk"/>
    <n v="1"/>
    <n v="8319"/>
    <n v="8319"/>
    <s v="Sep-2024"/>
    <x v="0"/>
  </r>
  <r>
    <s v="ORD1071"/>
    <x v="64"/>
    <x v="1"/>
    <s v="Patna"/>
    <x v="0"/>
    <x v="2"/>
    <x v="4"/>
    <s v="Office Desk"/>
    <n v="11"/>
    <n v="48115"/>
    <n v="529265"/>
    <s v="Oct-2024"/>
    <x v="3"/>
  </r>
  <r>
    <s v="ORD1072"/>
    <x v="65"/>
    <x v="1"/>
    <s v="Kolkata"/>
    <x v="2"/>
    <x v="1"/>
    <x v="6"/>
    <s v="Classmate Notebook"/>
    <n v="1"/>
    <n v="18394"/>
    <n v="18394"/>
    <s v="Apr-2024"/>
    <x v="1"/>
  </r>
  <r>
    <s v="ORD1073"/>
    <x v="66"/>
    <x v="0"/>
    <s v="Chennai"/>
    <x v="4"/>
    <x v="1"/>
    <x v="2"/>
    <s v="Small Stapler"/>
    <n v="6"/>
    <n v="29651"/>
    <n v="177906"/>
    <s v="Dec-2024"/>
    <x v="3"/>
  </r>
  <r>
    <s v="ORD1074"/>
    <x v="67"/>
    <x v="0"/>
    <s v="Chennai"/>
    <x v="0"/>
    <x v="1"/>
    <x v="1"/>
    <s v="Ball Pen"/>
    <n v="13"/>
    <n v="22220"/>
    <n v="288860"/>
    <s v="Oct-2024"/>
    <x v="3"/>
  </r>
  <r>
    <s v="ORD1075"/>
    <x v="68"/>
    <x v="2"/>
    <s v="Jaipur"/>
    <x v="1"/>
    <x v="1"/>
    <x v="1"/>
    <s v="Ball Pen"/>
    <n v="14"/>
    <n v="47470"/>
    <n v="664580"/>
    <s v="Nov-2024"/>
    <x v="3"/>
  </r>
  <r>
    <s v="ORD1076"/>
    <x v="69"/>
    <x v="0"/>
    <s v="Hyderabad"/>
    <x v="2"/>
    <x v="2"/>
    <x v="4"/>
    <s v="Study Table"/>
    <n v="1"/>
    <n v="23101"/>
    <n v="23101"/>
    <s v="Feb-2024"/>
    <x v="2"/>
  </r>
  <r>
    <s v="ORD1077"/>
    <x v="70"/>
    <x v="3"/>
    <s v="Ahmedabad"/>
    <x v="0"/>
    <x v="2"/>
    <x v="3"/>
    <s v="Wood Cabinet"/>
    <n v="9"/>
    <n v="31955"/>
    <n v="287595"/>
    <s v="Mar-2024"/>
    <x v="2"/>
  </r>
  <r>
    <s v="ORD1078"/>
    <x v="55"/>
    <x v="0"/>
    <s v="Chennai"/>
    <x v="1"/>
    <x v="1"/>
    <x v="1"/>
    <s v="Ball Pen"/>
    <n v="19"/>
    <n v="27895"/>
    <n v="530005"/>
    <s v="Sep-2024"/>
    <x v="0"/>
  </r>
  <r>
    <s v="ORD1079"/>
    <x v="20"/>
    <x v="2"/>
    <s v="Jaipur"/>
    <x v="5"/>
    <x v="0"/>
    <x v="7"/>
    <s v="Canon Printer"/>
    <n v="17"/>
    <n v="46746"/>
    <n v="794682"/>
    <s v="Jan-2024"/>
    <x v="2"/>
  </r>
  <r>
    <s v="ORD1080"/>
    <x v="71"/>
    <x v="0"/>
    <s v="Hyderabad"/>
    <x v="4"/>
    <x v="0"/>
    <x v="0"/>
    <s v="Oneplus Phone"/>
    <n v="20"/>
    <n v="20149"/>
    <n v="402980"/>
    <s v="Dec-2024"/>
    <x v="3"/>
  </r>
  <r>
    <s v="ORD1081"/>
    <x v="72"/>
    <x v="0"/>
    <s v="Hyderabad"/>
    <x v="1"/>
    <x v="0"/>
    <x v="5"/>
    <s v="Dell Laptop"/>
    <n v="3"/>
    <n v="46022"/>
    <n v="138066"/>
    <s v="May-2024"/>
    <x v="1"/>
  </r>
  <r>
    <s v="ORD1082"/>
    <x v="73"/>
    <x v="3"/>
    <s v="Pune"/>
    <x v="4"/>
    <x v="1"/>
    <x v="2"/>
    <s v="Small Stapler"/>
    <n v="18"/>
    <n v="17879"/>
    <n v="321822"/>
    <s v="Mar-2024"/>
    <x v="2"/>
  </r>
  <r>
    <s v="ORD1083"/>
    <x v="74"/>
    <x v="3"/>
    <s v="Ahmedabad"/>
    <x v="0"/>
    <x v="1"/>
    <x v="1"/>
    <s v="Ball Pen"/>
    <n v="6"/>
    <n v="31894"/>
    <n v="191364"/>
    <s v="Oct-2024"/>
    <x v="3"/>
  </r>
  <r>
    <s v="ORD1084"/>
    <x v="75"/>
    <x v="3"/>
    <s v="Ahmedabad"/>
    <x v="2"/>
    <x v="2"/>
    <x v="3"/>
    <s v="Wood Cabinet"/>
    <n v="8"/>
    <n v="43508"/>
    <n v="348064"/>
    <s v="May-2024"/>
    <x v="1"/>
  </r>
  <r>
    <s v="ORD1085"/>
    <x v="76"/>
    <x v="4"/>
    <s v="Chandigarh"/>
    <x v="4"/>
    <x v="2"/>
    <x v="4"/>
    <s v="Office Desk"/>
    <n v="7"/>
    <n v="4953"/>
    <n v="34671"/>
    <s v="May-2024"/>
    <x v="1"/>
  </r>
  <r>
    <s v="ORD1086"/>
    <x v="77"/>
    <x v="0"/>
    <s v="Hyderabad"/>
    <x v="4"/>
    <x v="2"/>
    <x v="3"/>
    <s v="Wood Cabinet"/>
    <n v="15"/>
    <n v="34710"/>
    <n v="520650"/>
    <s v="Nov-2024"/>
    <x v="3"/>
  </r>
  <r>
    <s v="ORD1087"/>
    <x v="78"/>
    <x v="0"/>
    <s v="Bangalore"/>
    <x v="4"/>
    <x v="0"/>
    <x v="7"/>
    <s v="Canon Printer"/>
    <n v="13"/>
    <n v="15960"/>
    <n v="207480"/>
    <s v="Jul-2024"/>
    <x v="0"/>
  </r>
  <r>
    <s v="ORD1088"/>
    <x v="79"/>
    <x v="2"/>
    <s v="Chandigarh"/>
    <x v="1"/>
    <x v="0"/>
    <x v="7"/>
    <s v="Canon Printer"/>
    <n v="8"/>
    <n v="26218"/>
    <n v="209744"/>
    <s v="Feb-2024"/>
    <x v="2"/>
  </r>
  <r>
    <s v="ORD1089"/>
    <x v="80"/>
    <x v="3"/>
    <s v="Pune"/>
    <x v="3"/>
    <x v="0"/>
    <x v="5"/>
    <s v="Hp Laptop"/>
    <n v="1"/>
    <n v="49511"/>
    <n v="49511"/>
    <s v="Jan-2024"/>
    <x v="2"/>
  </r>
  <r>
    <s v="ORD1090"/>
    <x v="61"/>
    <x v="0"/>
    <s v="Hyderabad"/>
    <x v="2"/>
    <x v="0"/>
    <x v="0"/>
    <s v="Oneplus Phone"/>
    <n v="15"/>
    <n v="22642"/>
    <n v="339630"/>
    <s v="Sep-2024"/>
    <x v="0"/>
  </r>
  <r>
    <s v="ORD1091"/>
    <x v="81"/>
    <x v="3"/>
    <s v="Mumbai"/>
    <x v="5"/>
    <x v="1"/>
    <x v="2"/>
    <s v="Small Stapler"/>
    <n v="13"/>
    <n v="15484"/>
    <n v="201292"/>
    <s v="Feb-2024"/>
    <x v="2"/>
  </r>
  <r>
    <s v="ORD1092"/>
    <x v="31"/>
    <x v="1"/>
    <s v="Bhubaneswar"/>
    <x v="4"/>
    <x v="2"/>
    <x v="8"/>
    <s v="Office Chair"/>
    <n v="15"/>
    <n v="36049"/>
    <n v="540735"/>
    <s v="Apr-2024"/>
    <x v="1"/>
  </r>
  <r>
    <s v="ORD1093"/>
    <x v="82"/>
    <x v="1"/>
    <s v="Kolkata"/>
    <x v="0"/>
    <x v="2"/>
    <x v="3"/>
    <s v="Wood Cabinet"/>
    <n v="19"/>
    <n v="7470"/>
    <n v="141930"/>
    <s v="Jun-2024"/>
    <x v="1"/>
  </r>
  <r>
    <s v="ORD1094"/>
    <x v="7"/>
    <x v="0"/>
    <s v="Bangalore"/>
    <x v="4"/>
    <x v="0"/>
    <x v="5"/>
    <s v="Hp Laptop"/>
    <n v="13"/>
    <n v="38227"/>
    <n v="496951"/>
    <s v="Sep-2024"/>
    <x v="0"/>
  </r>
  <r>
    <s v="ORD1095"/>
    <x v="9"/>
    <x v="3"/>
    <s v="Mumbai"/>
    <x v="1"/>
    <x v="2"/>
    <x v="8"/>
    <s v="Office Chair"/>
    <n v="13"/>
    <n v="9714"/>
    <n v="126282"/>
    <s v="Jan-2024"/>
    <x v="2"/>
  </r>
  <r>
    <s v="ORD1096"/>
    <x v="83"/>
    <x v="2"/>
    <s v="Chandigarh"/>
    <x v="0"/>
    <x v="2"/>
    <x v="4"/>
    <s v="Study Table"/>
    <n v="10"/>
    <n v="1146"/>
    <n v="11460"/>
    <s v="Feb-2024"/>
    <x v="2"/>
  </r>
  <r>
    <s v="ORD1097"/>
    <x v="84"/>
    <x v="2"/>
    <s v="Chandigarh"/>
    <x v="4"/>
    <x v="0"/>
    <x v="7"/>
    <s v="Hp Printer"/>
    <n v="4"/>
    <n v="28544"/>
    <n v="114176"/>
    <s v="Jan-2024"/>
    <x v="2"/>
  </r>
  <r>
    <s v="ORD1098"/>
    <x v="85"/>
    <x v="2"/>
    <s v="Delhi"/>
    <x v="4"/>
    <x v="0"/>
    <x v="0"/>
    <s v="Oneplus Phone"/>
    <n v="7"/>
    <n v="43651"/>
    <n v="305557"/>
    <s v="Mar-2024"/>
    <x v="2"/>
  </r>
  <r>
    <s v="ORD1099"/>
    <x v="86"/>
    <x v="1"/>
    <s v="Bhubaneswar"/>
    <x v="5"/>
    <x v="2"/>
    <x v="3"/>
    <s v="Wood Cabinet"/>
    <n v="8"/>
    <n v="4144"/>
    <n v="33152"/>
    <s v="May-2024"/>
    <x v="1"/>
  </r>
  <r>
    <s v="ORD1100"/>
    <x v="87"/>
    <x v="0"/>
    <s v="Chennai"/>
    <x v="2"/>
    <x v="2"/>
    <x v="3"/>
    <s v="Wood Cabinet"/>
    <n v="14"/>
    <n v="35464"/>
    <n v="496496"/>
    <s v="Jun-2024"/>
    <x v="1"/>
  </r>
  <r>
    <s v="ORD1101"/>
    <x v="88"/>
    <x v="0"/>
    <s v="Hyderabad"/>
    <x v="4"/>
    <x v="1"/>
    <x v="6"/>
    <s v="Classmate Notebook"/>
    <n v="20"/>
    <n v="47459"/>
    <n v="949180"/>
    <s v="Dec-2024"/>
    <x v="3"/>
  </r>
  <r>
    <s v="ORD1102"/>
    <x v="89"/>
    <x v="4"/>
    <s v="Jaipur"/>
    <x v="5"/>
    <x v="0"/>
    <x v="5"/>
    <s v="Hp Laptop"/>
    <n v="14"/>
    <n v="3142"/>
    <n v="43988"/>
    <s v="Jan-2024"/>
    <x v="2"/>
  </r>
  <r>
    <s v="ORD1103"/>
    <x v="45"/>
    <x v="2"/>
    <s v="Chandigarh"/>
    <x v="4"/>
    <x v="0"/>
    <x v="7"/>
    <s v="Canon Printer"/>
    <n v="4"/>
    <n v="20692"/>
    <n v="82768"/>
    <s v="Sep-2024"/>
    <x v="0"/>
  </r>
  <r>
    <s v="ORD1104"/>
    <x v="90"/>
    <x v="2"/>
    <s v="Delhi"/>
    <x v="5"/>
    <x v="1"/>
    <x v="1"/>
    <s v="Ball Pen"/>
    <n v="13"/>
    <n v="46576"/>
    <n v="605488"/>
    <s v="Dec-2024"/>
    <x v="3"/>
  </r>
  <r>
    <s v="ORD1105"/>
    <x v="34"/>
    <x v="1"/>
    <s v="Kolkata"/>
    <x v="4"/>
    <x v="1"/>
    <x v="2"/>
    <s v="Small Stapler"/>
    <n v="11"/>
    <n v="5822"/>
    <n v="64042"/>
    <s v="Feb-2024"/>
    <x v="2"/>
  </r>
  <r>
    <s v="ORD1106"/>
    <x v="91"/>
    <x v="3"/>
    <s v="Mumbai"/>
    <x v="5"/>
    <x v="2"/>
    <x v="8"/>
    <s v="Plastic Chair"/>
    <n v="9"/>
    <n v="25115"/>
    <n v="226035"/>
    <s v="Jun-2024"/>
    <x v="1"/>
  </r>
  <r>
    <s v="ORD1107"/>
    <x v="43"/>
    <x v="2"/>
    <s v="Chandigarh"/>
    <x v="3"/>
    <x v="2"/>
    <x v="8"/>
    <s v="Plastic Chair"/>
    <n v="18"/>
    <n v="13661"/>
    <n v="245898"/>
    <s v="May-2024"/>
    <x v="1"/>
  </r>
  <r>
    <s v="ORD1108"/>
    <x v="92"/>
    <x v="3"/>
    <s v="Pune"/>
    <x v="5"/>
    <x v="1"/>
    <x v="6"/>
    <s v="Classmate Notebook"/>
    <n v="15"/>
    <n v="34524"/>
    <n v="517860"/>
    <s v="Feb-2024"/>
    <x v="2"/>
  </r>
  <r>
    <s v="ORD1109"/>
    <x v="93"/>
    <x v="2"/>
    <s v="Jaipur"/>
    <x v="0"/>
    <x v="1"/>
    <x v="1"/>
    <s v="Gel Pen"/>
    <n v="17"/>
    <n v="21448"/>
    <n v="364616"/>
    <s v="Jul-2024"/>
    <x v="0"/>
  </r>
  <r>
    <s v="ORD1110"/>
    <x v="94"/>
    <x v="2"/>
    <s v="Jaipur"/>
    <x v="4"/>
    <x v="2"/>
    <x v="8"/>
    <s v="Office Chair"/>
    <n v="18"/>
    <n v="20755"/>
    <n v="373590"/>
    <s v="Jan-2024"/>
    <x v="2"/>
  </r>
  <r>
    <s v="ORD1111"/>
    <x v="95"/>
    <x v="4"/>
    <s v="Bhubaneswar"/>
    <x v="2"/>
    <x v="2"/>
    <x v="4"/>
    <s v="Office Desk"/>
    <n v="17"/>
    <n v="764"/>
    <n v="12988"/>
    <s v="Jun-2024"/>
    <x v="1"/>
  </r>
  <r>
    <s v="ORD1112"/>
    <x v="42"/>
    <x v="2"/>
    <s v="Delhi"/>
    <x v="2"/>
    <x v="2"/>
    <x v="3"/>
    <s v="Wood Cabinet"/>
    <n v="3"/>
    <n v="29810"/>
    <n v="89430"/>
    <s v="Jun-2024"/>
    <x v="1"/>
  </r>
  <r>
    <s v="ORD1113"/>
    <x v="83"/>
    <x v="3"/>
    <s v="Pune"/>
    <x v="2"/>
    <x v="2"/>
    <x v="4"/>
    <s v="Office Desk"/>
    <n v="2"/>
    <n v="9019"/>
    <n v="18038"/>
    <s v="Feb-2024"/>
    <x v="2"/>
  </r>
  <r>
    <s v="ORD1114"/>
    <x v="43"/>
    <x v="2"/>
    <s v="Chandigarh"/>
    <x v="3"/>
    <x v="2"/>
    <x v="3"/>
    <s v="Wood Cabinet"/>
    <n v="11"/>
    <n v="23896"/>
    <n v="262856"/>
    <s v="May-2024"/>
    <x v="1"/>
  </r>
  <r>
    <s v="ORD1115"/>
    <x v="96"/>
    <x v="3"/>
    <s v="Pune"/>
    <x v="2"/>
    <x v="2"/>
    <x v="4"/>
    <s v="Office Desk"/>
    <n v="6"/>
    <n v="2105"/>
    <n v="12630"/>
    <s v="Sep-2024"/>
    <x v="0"/>
  </r>
  <r>
    <s v="ORD1116"/>
    <x v="39"/>
    <x v="0"/>
    <s v="Chennai"/>
    <x v="5"/>
    <x v="1"/>
    <x v="1"/>
    <s v="Gel Pen"/>
    <n v="14"/>
    <n v="47907"/>
    <n v="670698"/>
    <s v="Feb-2024"/>
    <x v="2"/>
  </r>
  <r>
    <s v="ORD1117"/>
    <x v="88"/>
    <x v="2"/>
    <s v="Delhi"/>
    <x v="1"/>
    <x v="1"/>
    <x v="2"/>
    <s v="Small Stapler"/>
    <n v="7"/>
    <n v="17350"/>
    <n v="121450"/>
    <s v="Dec-2024"/>
    <x v="3"/>
  </r>
  <r>
    <s v="ORD1118"/>
    <x v="69"/>
    <x v="2"/>
    <s v="Chandigarh"/>
    <x v="5"/>
    <x v="1"/>
    <x v="2"/>
    <s v="Small Stapler"/>
    <n v="6"/>
    <n v="33720"/>
    <n v="202320"/>
    <s v="Feb-2024"/>
    <x v="2"/>
  </r>
  <r>
    <s v="ORD1119"/>
    <x v="97"/>
    <x v="1"/>
    <s v="Kolkata"/>
    <x v="4"/>
    <x v="1"/>
    <x v="6"/>
    <s v="Classmate Notebook"/>
    <n v="8"/>
    <n v="13332"/>
    <n v="106656"/>
    <s v="Dec-2024"/>
    <x v="3"/>
  </r>
  <r>
    <s v="ORD1120"/>
    <x v="98"/>
    <x v="1"/>
    <s v="Kolkata"/>
    <x v="5"/>
    <x v="2"/>
    <x v="4"/>
    <s v="Office Desk"/>
    <n v="16"/>
    <n v="47767"/>
    <n v="764272"/>
    <s v="Oct-2024"/>
    <x v="3"/>
  </r>
  <r>
    <s v="ORD1121"/>
    <x v="96"/>
    <x v="2"/>
    <s v="Jaipur"/>
    <x v="0"/>
    <x v="2"/>
    <x v="8"/>
    <s v="Office Chair"/>
    <n v="17"/>
    <n v="32121"/>
    <n v="546057"/>
    <s v="Sep-2024"/>
    <x v="0"/>
  </r>
  <r>
    <s v="ORD1122"/>
    <x v="99"/>
    <x v="2"/>
    <s v="Jaipur"/>
    <x v="4"/>
    <x v="1"/>
    <x v="2"/>
    <s v="Small Stapler"/>
    <n v="15"/>
    <n v="619"/>
    <n v="9285"/>
    <s v="Jan-2024"/>
    <x v="2"/>
  </r>
  <r>
    <s v="ORD1123"/>
    <x v="64"/>
    <x v="4"/>
    <s v="Chennai"/>
    <x v="1"/>
    <x v="1"/>
    <x v="2"/>
    <s v="Small Stapler"/>
    <n v="10"/>
    <n v="33786"/>
    <n v="337860"/>
    <s v="Oct-2024"/>
    <x v="3"/>
  </r>
  <r>
    <s v="ORD1124"/>
    <x v="100"/>
    <x v="3"/>
    <s v="Ahmedabad"/>
    <x v="0"/>
    <x v="1"/>
    <x v="2"/>
    <s v="Small Stapler"/>
    <n v="18"/>
    <n v="34138"/>
    <n v="614484"/>
    <s v="Sep-2024"/>
    <x v="0"/>
  </r>
  <r>
    <s v="ORD1125"/>
    <x v="101"/>
    <x v="4"/>
    <s v="Patna"/>
    <x v="4"/>
    <x v="1"/>
    <x v="2"/>
    <s v="Small Stapler"/>
    <n v="5"/>
    <n v="33382"/>
    <n v="166910"/>
    <s v="Aug-2024"/>
    <x v="0"/>
  </r>
  <r>
    <s v="ORD1126"/>
    <x v="102"/>
    <x v="1"/>
    <s v="Patna"/>
    <x v="1"/>
    <x v="0"/>
    <x v="7"/>
    <s v="Hp Printer"/>
    <n v="14"/>
    <n v="48443"/>
    <n v="678202"/>
    <s v="May-2024"/>
    <x v="1"/>
  </r>
  <r>
    <s v="ORD1127"/>
    <x v="103"/>
    <x v="2"/>
    <s v="Jaipur"/>
    <x v="1"/>
    <x v="2"/>
    <x v="4"/>
    <s v="Office Desk"/>
    <n v="3"/>
    <n v="6100"/>
    <n v="18300"/>
    <s v="Dec-2024"/>
    <x v="3"/>
  </r>
  <r>
    <s v="ORD1128"/>
    <x v="104"/>
    <x v="2"/>
    <s v="Jaipur"/>
    <x v="0"/>
    <x v="2"/>
    <x v="4"/>
    <s v="Office Desk"/>
    <n v="11"/>
    <n v="25658"/>
    <n v="282238"/>
    <s v="Jul-2024"/>
    <x v="0"/>
  </r>
  <r>
    <s v="ORD1129"/>
    <x v="105"/>
    <x v="1"/>
    <s v="Kolkata"/>
    <x v="5"/>
    <x v="2"/>
    <x v="4"/>
    <s v="Study Table"/>
    <n v="1"/>
    <n v="11477"/>
    <n v="11477"/>
    <s v="Jul-2024"/>
    <x v="0"/>
  </r>
  <r>
    <s v="ORD1130"/>
    <x v="106"/>
    <x v="3"/>
    <s v="Pune"/>
    <x v="4"/>
    <x v="0"/>
    <x v="7"/>
    <s v="Canon Printer"/>
    <n v="17"/>
    <n v="19026"/>
    <n v="323442"/>
    <s v="Jul-2024"/>
    <x v="0"/>
  </r>
  <r>
    <s v="ORD1131"/>
    <x v="107"/>
    <x v="1"/>
    <s v="Patna"/>
    <x v="5"/>
    <x v="2"/>
    <x v="4"/>
    <s v="Office Desk"/>
    <n v="16"/>
    <n v="26539"/>
    <n v="424624"/>
    <s v="Sep-2024"/>
    <x v="0"/>
  </r>
  <r>
    <s v="ORD1132"/>
    <x v="108"/>
    <x v="1"/>
    <s v="Kolkata"/>
    <x v="5"/>
    <x v="0"/>
    <x v="5"/>
    <s v="Hp Laptop"/>
    <n v="1"/>
    <n v="6967"/>
    <n v="6967"/>
    <s v="Mar-2024"/>
    <x v="2"/>
  </r>
  <r>
    <s v="ORD1133"/>
    <x v="109"/>
    <x v="3"/>
    <s v="Mumbai"/>
    <x v="5"/>
    <x v="2"/>
    <x v="8"/>
    <s v="Plastic Chair"/>
    <n v="1"/>
    <n v="6043"/>
    <n v="6043"/>
    <s v="Nov-2024"/>
    <x v="3"/>
  </r>
  <r>
    <s v="ORD1134"/>
    <x v="110"/>
    <x v="1"/>
    <s v="Patna"/>
    <x v="0"/>
    <x v="0"/>
    <x v="7"/>
    <s v="Hp Printer"/>
    <n v="12"/>
    <n v="3282"/>
    <n v="39384"/>
    <s v="Sep-2024"/>
    <x v="0"/>
  </r>
  <r>
    <s v="ORD1135"/>
    <x v="111"/>
    <x v="2"/>
    <s v="Chandigarh"/>
    <x v="1"/>
    <x v="1"/>
    <x v="2"/>
    <s v="Small Stapler"/>
    <n v="9"/>
    <n v="45062"/>
    <n v="405558"/>
    <s v="Dec-2024"/>
    <x v="3"/>
  </r>
  <r>
    <s v="ORD1136"/>
    <x v="112"/>
    <x v="3"/>
    <s v="Mumbai"/>
    <x v="1"/>
    <x v="2"/>
    <x v="3"/>
    <s v="Wood Cabinet"/>
    <n v="13"/>
    <n v="8312"/>
    <n v="108056"/>
    <s v="Apr-2024"/>
    <x v="1"/>
  </r>
  <r>
    <s v="ORD1137"/>
    <x v="113"/>
    <x v="1"/>
    <s v="Bhubaneswar"/>
    <x v="1"/>
    <x v="1"/>
    <x v="2"/>
    <s v="Small Stapler"/>
    <n v="20"/>
    <n v="31604"/>
    <n v="632080"/>
    <s v="Jul-2024"/>
    <x v="0"/>
  </r>
  <r>
    <s v="ORD1138"/>
    <x v="114"/>
    <x v="2"/>
    <s v="Delhi"/>
    <x v="2"/>
    <x v="2"/>
    <x v="3"/>
    <s v="Wood Cabinet"/>
    <n v="9"/>
    <n v="27502"/>
    <n v="247518"/>
    <s v="Mar-2024"/>
    <x v="2"/>
  </r>
  <r>
    <s v="ORD1139"/>
    <x v="115"/>
    <x v="3"/>
    <s v="Pune"/>
    <x v="4"/>
    <x v="1"/>
    <x v="2"/>
    <s v="Small Stapler"/>
    <n v="16"/>
    <n v="6940"/>
    <n v="111040"/>
    <s v="Nov-2024"/>
    <x v="3"/>
  </r>
  <r>
    <s v="ORD1140"/>
    <x v="80"/>
    <x v="2"/>
    <s v="Chandigarh"/>
    <x v="2"/>
    <x v="1"/>
    <x v="6"/>
    <s v="Classmate Notebook"/>
    <n v="15"/>
    <n v="19851"/>
    <n v="297765"/>
    <s v="Jan-2024"/>
    <x v="2"/>
  </r>
  <r>
    <s v="ORD1141"/>
    <x v="116"/>
    <x v="2"/>
    <s v="Delhi"/>
    <x v="5"/>
    <x v="1"/>
    <x v="6"/>
    <s v="Classmate Notebook"/>
    <n v="14"/>
    <n v="9921"/>
    <n v="138894"/>
    <s v="Dec-2024"/>
    <x v="3"/>
  </r>
  <r>
    <s v="ORD1142"/>
    <x v="68"/>
    <x v="0"/>
    <s v="Chennai"/>
    <x v="2"/>
    <x v="0"/>
    <x v="0"/>
    <s v="Oneplus Phone"/>
    <n v="2"/>
    <n v="35116"/>
    <n v="70232"/>
    <s v="Nov-2024"/>
    <x v="3"/>
  </r>
  <r>
    <s v="ORD1143"/>
    <x v="117"/>
    <x v="0"/>
    <s v="Chennai"/>
    <x v="4"/>
    <x v="2"/>
    <x v="4"/>
    <s v="Office Desk"/>
    <n v="9"/>
    <n v="32399"/>
    <n v="291591"/>
    <s v="Dec-2024"/>
    <x v="3"/>
  </r>
  <r>
    <s v="ORD1144"/>
    <x v="118"/>
    <x v="0"/>
    <s v="Chennai"/>
    <x v="4"/>
    <x v="2"/>
    <x v="3"/>
    <s v="Wood Cabinet"/>
    <n v="6"/>
    <n v="39897"/>
    <n v="239382"/>
    <s v="May-2024"/>
    <x v="1"/>
  </r>
  <r>
    <s v="ORD1145"/>
    <x v="110"/>
    <x v="0"/>
    <s v="Hyderabad"/>
    <x v="5"/>
    <x v="1"/>
    <x v="2"/>
    <s v="Small Stapler"/>
    <n v="2"/>
    <n v="33226"/>
    <n v="66452"/>
    <s v="Sep-2024"/>
    <x v="0"/>
  </r>
  <r>
    <s v="ORD1146"/>
    <x v="119"/>
    <x v="3"/>
    <s v="Ahmedabad"/>
    <x v="2"/>
    <x v="1"/>
    <x v="1"/>
    <s v="Gel Pen"/>
    <n v="16"/>
    <n v="31683"/>
    <n v="506928"/>
    <s v="Jun-2024"/>
    <x v="1"/>
  </r>
  <r>
    <s v="ORD1147"/>
    <x v="120"/>
    <x v="3"/>
    <s v="Mumbai"/>
    <x v="3"/>
    <x v="0"/>
    <x v="5"/>
    <s v="Lenovo Laptop"/>
    <n v="3"/>
    <n v="41832"/>
    <n v="125496"/>
    <s v="May-2024"/>
    <x v="1"/>
  </r>
  <r>
    <s v="ORD1148"/>
    <x v="121"/>
    <x v="2"/>
    <s v="Chandigarh"/>
    <x v="2"/>
    <x v="0"/>
    <x v="7"/>
    <s v="Hp Printer"/>
    <n v="7"/>
    <n v="33165"/>
    <n v="232155"/>
    <s v="Apr-2024"/>
    <x v="1"/>
  </r>
  <r>
    <s v="ORD1149"/>
    <x v="46"/>
    <x v="3"/>
    <s v="Pune"/>
    <x v="2"/>
    <x v="2"/>
    <x v="8"/>
    <s v="Office Chair"/>
    <n v="8"/>
    <n v="5742"/>
    <n v="45936"/>
    <s v="Jun-2024"/>
    <x v="1"/>
  </r>
  <r>
    <s v="ORD1150"/>
    <x v="72"/>
    <x v="0"/>
    <s v="Chennai"/>
    <x v="2"/>
    <x v="1"/>
    <x v="2"/>
    <s v="Small Stapler"/>
    <n v="17"/>
    <n v="25056"/>
    <n v="425952"/>
    <s v="May-2024"/>
    <x v="1"/>
  </r>
  <r>
    <s v="ORD1151"/>
    <x v="122"/>
    <x v="2"/>
    <s v="Delhi"/>
    <x v="4"/>
    <x v="2"/>
    <x v="4"/>
    <s v="Study Table"/>
    <n v="5"/>
    <n v="44843"/>
    <n v="224215"/>
    <s v="Feb-2024"/>
    <x v="2"/>
  </r>
  <r>
    <s v="ORD1152"/>
    <x v="123"/>
    <x v="2"/>
    <s v="Jaipur"/>
    <x v="4"/>
    <x v="0"/>
    <x v="5"/>
    <s v="Lenovo Laptop"/>
    <n v="11"/>
    <n v="16515"/>
    <n v="181665"/>
    <s v="Feb-2024"/>
    <x v="2"/>
  </r>
  <r>
    <s v="ORD1153"/>
    <x v="83"/>
    <x v="3"/>
    <s v="Ahmedabad"/>
    <x v="5"/>
    <x v="0"/>
    <x v="0"/>
    <s v="iPhone"/>
    <n v="13"/>
    <n v="24583"/>
    <n v="319579"/>
    <s v="Feb-2024"/>
    <x v="2"/>
  </r>
  <r>
    <s v="ORD1154"/>
    <x v="124"/>
    <x v="0"/>
    <s v="Bangalore"/>
    <x v="2"/>
    <x v="1"/>
    <x v="6"/>
    <s v="Classmate Notebook"/>
    <n v="11"/>
    <n v="7553"/>
    <n v="83083"/>
    <s v="Jan-2024"/>
    <x v="2"/>
  </r>
  <r>
    <s v="ORD1155"/>
    <x v="125"/>
    <x v="3"/>
    <s v="Ahmedabad"/>
    <x v="1"/>
    <x v="1"/>
    <x v="1"/>
    <s v="Ball Pen"/>
    <n v="19"/>
    <n v="40874"/>
    <n v="776606"/>
    <s v="Jul-2024"/>
    <x v="0"/>
  </r>
  <r>
    <s v="ORD1156"/>
    <x v="126"/>
    <x v="1"/>
    <s v="Patna"/>
    <x v="5"/>
    <x v="2"/>
    <x v="3"/>
    <s v="Wood Cabinet"/>
    <n v="10"/>
    <n v="36187"/>
    <n v="361870"/>
    <s v="Jun-2024"/>
    <x v="1"/>
  </r>
  <r>
    <s v="ORD1157"/>
    <x v="127"/>
    <x v="0"/>
    <s v="Bangalore"/>
    <x v="5"/>
    <x v="1"/>
    <x v="2"/>
    <s v="Small Stapler"/>
    <n v="7"/>
    <n v="28682"/>
    <n v="200774"/>
    <s v="Mar-2024"/>
    <x v="2"/>
  </r>
  <r>
    <s v="ORD1158"/>
    <x v="128"/>
    <x v="3"/>
    <s v="Ahmedabad"/>
    <x v="2"/>
    <x v="0"/>
    <x v="0"/>
    <s v="Oneplus Phone"/>
    <n v="9"/>
    <n v="31213"/>
    <n v="280917"/>
    <s v="May-2024"/>
    <x v="1"/>
  </r>
  <r>
    <s v="ORD1159"/>
    <x v="129"/>
    <x v="0"/>
    <s v="Chennai"/>
    <x v="2"/>
    <x v="1"/>
    <x v="1"/>
    <s v="Ball Pen"/>
    <n v="12"/>
    <n v="35900"/>
    <n v="430800"/>
    <s v="Feb-2024"/>
    <x v="2"/>
  </r>
  <r>
    <s v="ORD1160"/>
    <x v="130"/>
    <x v="2"/>
    <s v="Chandigarh"/>
    <x v="3"/>
    <x v="2"/>
    <x v="4"/>
    <s v="Study Table"/>
    <n v="19"/>
    <n v="9501"/>
    <n v="180519"/>
    <s v="Mar-2024"/>
    <x v="2"/>
  </r>
  <r>
    <s v="ORD1161"/>
    <x v="17"/>
    <x v="0"/>
    <s v="Chennai"/>
    <x v="5"/>
    <x v="2"/>
    <x v="4"/>
    <s v="Office Desk"/>
    <n v="13"/>
    <n v="29017"/>
    <n v="377221"/>
    <s v="Mar-2024"/>
    <x v="2"/>
  </r>
  <r>
    <s v="ORD1162"/>
    <x v="26"/>
    <x v="1"/>
    <s v="Kolkata"/>
    <x v="2"/>
    <x v="1"/>
    <x v="1"/>
    <s v="Ball Pen"/>
    <n v="1"/>
    <n v="35411"/>
    <n v="35411"/>
    <s v="May-2024"/>
    <x v="1"/>
  </r>
  <r>
    <s v="ORD1163"/>
    <x v="74"/>
    <x v="2"/>
    <s v="Chandigarh"/>
    <x v="1"/>
    <x v="0"/>
    <x v="0"/>
    <s v="Oneplus Phone"/>
    <n v="15"/>
    <n v="2190"/>
    <n v="32850"/>
    <s v="Oct-2024"/>
    <x v="3"/>
  </r>
  <r>
    <s v="ORD1164"/>
    <x v="93"/>
    <x v="4"/>
    <s v="Patna"/>
    <x v="0"/>
    <x v="1"/>
    <x v="6"/>
    <s v="Classmate Notebook"/>
    <n v="13"/>
    <n v="39900"/>
    <n v="518700"/>
    <s v="Jul-2024"/>
    <x v="0"/>
  </r>
  <r>
    <s v="ORD1165"/>
    <x v="50"/>
    <x v="1"/>
    <s v="Kolkata"/>
    <x v="1"/>
    <x v="0"/>
    <x v="0"/>
    <s v="iPhone"/>
    <n v="2"/>
    <n v="7482"/>
    <n v="14964"/>
    <s v="Nov-2024"/>
    <x v="3"/>
  </r>
  <r>
    <s v="ORD1166"/>
    <x v="131"/>
    <x v="0"/>
    <s v="Hyderabad"/>
    <x v="4"/>
    <x v="1"/>
    <x v="6"/>
    <s v="Classmate Notebook"/>
    <n v="16"/>
    <n v="45909"/>
    <n v="734544"/>
    <s v="Oct-2024"/>
    <x v="3"/>
  </r>
  <r>
    <s v="ORD1167"/>
    <x v="132"/>
    <x v="0"/>
    <s v="Hyderabad"/>
    <x v="5"/>
    <x v="0"/>
    <x v="5"/>
    <s v="Lenovo Laptop"/>
    <n v="4"/>
    <n v="2859"/>
    <n v="11436"/>
    <s v="Jul-2024"/>
    <x v="0"/>
  </r>
  <r>
    <s v="ORD1168"/>
    <x v="133"/>
    <x v="3"/>
    <s v="Unknown"/>
    <x v="1"/>
    <x v="1"/>
    <x v="6"/>
    <s v="Classmate Notebook"/>
    <n v="20"/>
    <n v="28699"/>
    <n v="573980"/>
    <s v="Dec-2024"/>
    <x v="3"/>
  </r>
  <r>
    <s v="ORD1169"/>
    <x v="134"/>
    <x v="1"/>
    <s v="Bhubaneswar"/>
    <x v="5"/>
    <x v="2"/>
    <x v="4"/>
    <s v="Office Desk"/>
    <n v="20"/>
    <n v="34212"/>
    <n v="684240"/>
    <s v="Aug-2024"/>
    <x v="0"/>
  </r>
  <r>
    <s v="ORD1170"/>
    <x v="135"/>
    <x v="0"/>
    <s v="Bangalore"/>
    <x v="5"/>
    <x v="2"/>
    <x v="3"/>
    <s v="Wood Cabinet"/>
    <n v="18"/>
    <n v="42322"/>
    <n v="761796"/>
    <s v="Sep-2024"/>
    <x v="0"/>
  </r>
  <r>
    <s v="ORD1171"/>
    <x v="7"/>
    <x v="1"/>
    <s v="Bhubaneswar"/>
    <x v="5"/>
    <x v="1"/>
    <x v="1"/>
    <s v="Gel Pen"/>
    <n v="13"/>
    <n v="41592"/>
    <n v="540696"/>
    <s v="Sep-2024"/>
    <x v="0"/>
  </r>
  <r>
    <s v="ORD1172"/>
    <x v="76"/>
    <x v="0"/>
    <s v="Chennai"/>
    <x v="4"/>
    <x v="1"/>
    <x v="1"/>
    <s v="Gel Pen"/>
    <n v="11"/>
    <n v="43231"/>
    <n v="475541"/>
    <s v="May-2024"/>
    <x v="1"/>
  </r>
  <r>
    <s v="ORD1173"/>
    <x v="93"/>
    <x v="0"/>
    <s v="Hyderabad"/>
    <x v="0"/>
    <x v="2"/>
    <x v="3"/>
    <s v="Wood Cabinet"/>
    <n v="7"/>
    <n v="28510"/>
    <n v="199570"/>
    <s v="Jul-2024"/>
    <x v="0"/>
  </r>
  <r>
    <s v="ORD1174"/>
    <x v="136"/>
    <x v="1"/>
    <s v="Bhubaneswar"/>
    <x v="5"/>
    <x v="1"/>
    <x v="1"/>
    <s v="Ball Pen"/>
    <n v="5"/>
    <n v="982"/>
    <n v="4910"/>
    <s v="May-2024"/>
    <x v="1"/>
  </r>
  <r>
    <s v="ORD1175"/>
    <x v="44"/>
    <x v="1"/>
    <s v="Bhubaneswar"/>
    <x v="5"/>
    <x v="0"/>
    <x v="5"/>
    <s v="Lenovo Laptop"/>
    <n v="15"/>
    <n v="24908"/>
    <n v="373620"/>
    <s v="Feb-2024"/>
    <x v="2"/>
  </r>
  <r>
    <s v="ORD1176"/>
    <x v="57"/>
    <x v="3"/>
    <s v="Unknown"/>
    <x v="1"/>
    <x v="0"/>
    <x v="7"/>
    <s v="Hp Printer"/>
    <n v="15"/>
    <n v="26188"/>
    <n v="392820"/>
    <s v="May-2024"/>
    <x v="1"/>
  </r>
  <r>
    <s v="ORD1177"/>
    <x v="98"/>
    <x v="0"/>
    <s v="Hyderabad"/>
    <x v="5"/>
    <x v="1"/>
    <x v="6"/>
    <s v="Classmate Notebook"/>
    <n v="14"/>
    <n v="10613"/>
    <n v="148582"/>
    <s v="Oct-2024"/>
    <x v="3"/>
  </r>
  <r>
    <s v="ORD1178"/>
    <x v="137"/>
    <x v="0"/>
    <s v="Chennai"/>
    <x v="2"/>
    <x v="1"/>
    <x v="1"/>
    <s v="Gel Pen"/>
    <n v="6"/>
    <n v="11708"/>
    <n v="70248"/>
    <s v="Oct-2024"/>
    <x v="3"/>
  </r>
  <r>
    <s v="ORD1179"/>
    <x v="138"/>
    <x v="1"/>
    <s v="Patna"/>
    <x v="5"/>
    <x v="0"/>
    <x v="7"/>
    <s v="Hp Printer"/>
    <n v="2"/>
    <n v="33994"/>
    <n v="67988"/>
    <s v="Aug-2024"/>
    <x v="0"/>
  </r>
  <r>
    <s v="ORD1180"/>
    <x v="139"/>
    <x v="0"/>
    <s v="Hyderabad"/>
    <x v="0"/>
    <x v="1"/>
    <x v="2"/>
    <s v="Small Stapler"/>
    <n v="15"/>
    <n v="8004"/>
    <n v="120060"/>
    <s v="May-2024"/>
    <x v="1"/>
  </r>
  <r>
    <s v="ORD1181"/>
    <x v="140"/>
    <x v="2"/>
    <s v="Jaipur"/>
    <x v="0"/>
    <x v="0"/>
    <x v="7"/>
    <s v="Hp Printer"/>
    <n v="2"/>
    <n v="34178"/>
    <n v="68356"/>
    <s v="Nov-2024"/>
    <x v="3"/>
  </r>
  <r>
    <s v="ORD1182"/>
    <x v="141"/>
    <x v="0"/>
    <s v="Bangalore"/>
    <x v="0"/>
    <x v="0"/>
    <x v="0"/>
    <s v="Samsung Phone"/>
    <n v="6"/>
    <n v="39191"/>
    <n v="235146"/>
    <s v="May-2024"/>
    <x v="1"/>
  </r>
  <r>
    <s v="ORD1183"/>
    <x v="45"/>
    <x v="0"/>
    <s v="Hyderabad"/>
    <x v="0"/>
    <x v="1"/>
    <x v="6"/>
    <s v="Classmate Notebook"/>
    <n v="18"/>
    <n v="11185"/>
    <n v="201330"/>
    <s v="Sep-2024"/>
    <x v="0"/>
  </r>
  <r>
    <s v="ORD1184"/>
    <x v="141"/>
    <x v="1"/>
    <s v="Unknown"/>
    <x v="4"/>
    <x v="2"/>
    <x v="8"/>
    <s v="Plastic Chair"/>
    <n v="5"/>
    <n v="17203"/>
    <n v="86015"/>
    <s v="May-2024"/>
    <x v="1"/>
  </r>
  <r>
    <s v="ORD1185"/>
    <x v="78"/>
    <x v="3"/>
    <s v="Unknown"/>
    <x v="4"/>
    <x v="1"/>
    <x v="2"/>
    <s v="Small Stapler"/>
    <n v="5"/>
    <n v="17138"/>
    <n v="85690"/>
    <s v="Jul-2024"/>
    <x v="0"/>
  </r>
  <r>
    <s v="ORD1186"/>
    <x v="142"/>
    <x v="3"/>
    <s v="Pune"/>
    <x v="0"/>
    <x v="2"/>
    <x v="4"/>
    <s v="Office Desk"/>
    <n v="1"/>
    <n v="9966"/>
    <n v="9966"/>
    <s v="Oct-2024"/>
    <x v="3"/>
  </r>
  <r>
    <s v="ORD1187"/>
    <x v="67"/>
    <x v="0"/>
    <s v="Chennai"/>
    <x v="2"/>
    <x v="0"/>
    <x v="5"/>
    <s v="Hp Laptop"/>
    <n v="20"/>
    <n v="13203"/>
    <n v="264060"/>
    <s v="Oct-2024"/>
    <x v="3"/>
  </r>
  <r>
    <s v="ORD1188"/>
    <x v="143"/>
    <x v="1"/>
    <s v="Patna"/>
    <x v="0"/>
    <x v="0"/>
    <x v="7"/>
    <s v="Hp Printer"/>
    <n v="13"/>
    <n v="46830"/>
    <n v="608790"/>
    <s v="Oct-2024"/>
    <x v="3"/>
  </r>
  <r>
    <s v="ORD1189"/>
    <x v="144"/>
    <x v="0"/>
    <s v="Bangalore"/>
    <x v="1"/>
    <x v="1"/>
    <x v="1"/>
    <s v="Gel Pen"/>
    <n v="1"/>
    <n v="49112"/>
    <n v="49112"/>
    <s v="Dec-2024"/>
    <x v="3"/>
  </r>
  <r>
    <s v="ORD1190"/>
    <x v="145"/>
    <x v="1"/>
    <s v="Bhubaneswar"/>
    <x v="2"/>
    <x v="2"/>
    <x v="3"/>
    <s v="Wood Cabinet"/>
    <n v="5"/>
    <n v="44285"/>
    <n v="221425"/>
    <s v="Oct-2024"/>
    <x v="3"/>
  </r>
  <r>
    <s v="ORD1191"/>
    <x v="146"/>
    <x v="2"/>
    <s v="Delhi"/>
    <x v="0"/>
    <x v="2"/>
    <x v="8"/>
    <s v="Plastic Chair"/>
    <n v="12"/>
    <n v="49290"/>
    <n v="591480"/>
    <s v="Apr-2024"/>
    <x v="1"/>
  </r>
  <r>
    <s v="ORD1192"/>
    <x v="147"/>
    <x v="0"/>
    <s v="Bangalore"/>
    <x v="0"/>
    <x v="2"/>
    <x v="3"/>
    <s v="Wood Cabinet"/>
    <n v="18"/>
    <n v="19321"/>
    <n v="347778"/>
    <s v="Jun-2024"/>
    <x v="1"/>
  </r>
  <r>
    <s v="ORD1193"/>
    <x v="148"/>
    <x v="2"/>
    <s v="Chandigarh"/>
    <x v="4"/>
    <x v="2"/>
    <x v="8"/>
    <s v="Plastic Chair"/>
    <n v="20"/>
    <n v="39036"/>
    <n v="780720"/>
    <s v="Jan-2024"/>
    <x v="2"/>
  </r>
  <r>
    <s v="ORD1194"/>
    <x v="149"/>
    <x v="2"/>
    <s v="Chandigarh"/>
    <x v="1"/>
    <x v="2"/>
    <x v="4"/>
    <s v="Office Desk"/>
    <n v="2"/>
    <n v="20883"/>
    <n v="41766"/>
    <s v="Nov-2024"/>
    <x v="3"/>
  </r>
  <r>
    <s v="ORD1195"/>
    <x v="150"/>
    <x v="0"/>
    <s v="Bangalore"/>
    <x v="2"/>
    <x v="1"/>
    <x v="1"/>
    <s v="Gel Pen"/>
    <n v="8"/>
    <n v="49002"/>
    <n v="392016"/>
    <s v="Aug-2024"/>
    <x v="0"/>
  </r>
  <r>
    <s v="ORD1196"/>
    <x v="151"/>
    <x v="0"/>
    <s v="Hyderabad"/>
    <x v="3"/>
    <x v="1"/>
    <x v="6"/>
    <s v="Classmate Notebook"/>
    <n v="13"/>
    <n v="43509"/>
    <n v="565617"/>
    <s v="Dec-2024"/>
    <x v="3"/>
  </r>
  <r>
    <s v="ORD1197"/>
    <x v="152"/>
    <x v="0"/>
    <s v="Hyderabad"/>
    <x v="5"/>
    <x v="1"/>
    <x v="6"/>
    <s v="Classmate Notebook"/>
    <n v="19"/>
    <n v="24975"/>
    <n v="474525"/>
    <s v="Mar-2024"/>
    <x v="2"/>
  </r>
  <r>
    <s v="ORD1198"/>
    <x v="153"/>
    <x v="1"/>
    <s v="Patna"/>
    <x v="5"/>
    <x v="1"/>
    <x v="1"/>
    <s v="Ball Pen"/>
    <n v="18"/>
    <n v="33155"/>
    <n v="596790"/>
    <s v="Jan-2024"/>
    <x v="2"/>
  </r>
  <r>
    <s v="ORD1199"/>
    <x v="154"/>
    <x v="0"/>
    <s v="Chennai"/>
    <x v="4"/>
    <x v="2"/>
    <x v="3"/>
    <s v="Wood Cabinet"/>
    <n v="16"/>
    <n v="6604"/>
    <n v="105664"/>
    <s v="Jul-2024"/>
    <x v="0"/>
  </r>
  <r>
    <s v="ORD1200"/>
    <x v="94"/>
    <x v="0"/>
    <s v="Bangalore"/>
    <x v="0"/>
    <x v="1"/>
    <x v="1"/>
    <s v="Ball Pen"/>
    <n v="7"/>
    <n v="26017"/>
    <n v="182119"/>
    <s v="Jan-2024"/>
    <x v="2"/>
  </r>
  <r>
    <s v="ORD1201"/>
    <x v="84"/>
    <x v="3"/>
    <s v="Mumbai"/>
    <x v="0"/>
    <x v="0"/>
    <x v="5"/>
    <s v="Lenovo Laptop"/>
    <n v="15"/>
    <n v="12572"/>
    <n v="188580"/>
    <s v="Jan-2024"/>
    <x v="2"/>
  </r>
  <r>
    <s v="ORD1202"/>
    <x v="155"/>
    <x v="0"/>
    <s v="Hyderabad"/>
    <x v="4"/>
    <x v="1"/>
    <x v="1"/>
    <s v="Ball Pen"/>
    <n v="7"/>
    <n v="15451"/>
    <n v="108157"/>
    <s v="Sep-2024"/>
    <x v="0"/>
  </r>
  <r>
    <s v="ORD1203"/>
    <x v="156"/>
    <x v="3"/>
    <s v="Ahmedabad"/>
    <x v="3"/>
    <x v="1"/>
    <x v="1"/>
    <s v="Ball Pen"/>
    <n v="2"/>
    <n v="40216"/>
    <n v="80432"/>
    <s v="Jan-2024"/>
    <x v="2"/>
  </r>
  <r>
    <s v="ORD1204"/>
    <x v="157"/>
    <x v="0"/>
    <s v="Bangalore"/>
    <x v="2"/>
    <x v="2"/>
    <x v="4"/>
    <s v="Study Table"/>
    <n v="3"/>
    <n v="37256"/>
    <n v="111768"/>
    <s v="Oct-2024"/>
    <x v="3"/>
  </r>
  <r>
    <s v="ORD1205"/>
    <x v="113"/>
    <x v="1"/>
    <s v="Kolkata"/>
    <x v="4"/>
    <x v="2"/>
    <x v="3"/>
    <s v="Wood Cabinet"/>
    <n v="12"/>
    <n v="31043"/>
    <n v="372516"/>
    <s v="Jul-2024"/>
    <x v="0"/>
  </r>
  <r>
    <s v="ORD1206"/>
    <x v="158"/>
    <x v="2"/>
    <s v="Chandigarh"/>
    <x v="2"/>
    <x v="2"/>
    <x v="8"/>
    <s v="Plastic Chair"/>
    <n v="11"/>
    <n v="9990"/>
    <n v="109890"/>
    <s v="Jun-2024"/>
    <x v="1"/>
  </r>
  <r>
    <s v="ORD1207"/>
    <x v="159"/>
    <x v="3"/>
    <s v="Mumbai"/>
    <x v="2"/>
    <x v="1"/>
    <x v="6"/>
    <s v="Classmate Notebook"/>
    <n v="1"/>
    <n v="37925"/>
    <n v="37925"/>
    <s v="Jul-2024"/>
    <x v="0"/>
  </r>
  <r>
    <s v="ORD1208"/>
    <x v="160"/>
    <x v="2"/>
    <s v="Delhi"/>
    <x v="4"/>
    <x v="1"/>
    <x v="2"/>
    <s v="Small Stapler"/>
    <n v="11"/>
    <n v="24339"/>
    <n v="267729"/>
    <s v="Feb-2024"/>
    <x v="2"/>
  </r>
  <r>
    <s v="ORD1209"/>
    <x v="107"/>
    <x v="2"/>
    <s v="Unknown"/>
    <x v="1"/>
    <x v="2"/>
    <x v="3"/>
    <s v="Wood Cabinet"/>
    <n v="18"/>
    <n v="29442"/>
    <n v="529956"/>
    <s v="Sep-2024"/>
    <x v="0"/>
  </r>
  <r>
    <s v="ORD1210"/>
    <x v="95"/>
    <x v="3"/>
    <s v="Ahmedabad"/>
    <x v="4"/>
    <x v="1"/>
    <x v="1"/>
    <s v="Gel Pen"/>
    <n v="7"/>
    <n v="9777"/>
    <n v="68439"/>
    <s v="Jun-2024"/>
    <x v="1"/>
  </r>
  <r>
    <s v="ORD1211"/>
    <x v="161"/>
    <x v="0"/>
    <s v="Hyderabad"/>
    <x v="0"/>
    <x v="0"/>
    <x v="0"/>
    <s v="Samsung Phone"/>
    <n v="12"/>
    <n v="22575"/>
    <n v="270900"/>
    <s v="Sep-2024"/>
    <x v="0"/>
  </r>
  <r>
    <s v="ORD1212"/>
    <x v="68"/>
    <x v="3"/>
    <s v="Ahmedabad"/>
    <x v="5"/>
    <x v="2"/>
    <x v="8"/>
    <s v="Office Chair"/>
    <n v="9"/>
    <n v="49653"/>
    <n v="446877"/>
    <s v="Nov-2024"/>
    <x v="3"/>
  </r>
  <r>
    <s v="ORD1213"/>
    <x v="44"/>
    <x v="1"/>
    <s v="Patna"/>
    <x v="5"/>
    <x v="2"/>
    <x v="3"/>
    <s v="Wood Cabinet"/>
    <n v="9"/>
    <n v="27318"/>
    <n v="245862"/>
    <s v="Feb-2024"/>
    <x v="2"/>
  </r>
  <r>
    <s v="ORD1214"/>
    <x v="31"/>
    <x v="2"/>
    <s v="Unknown"/>
    <x v="5"/>
    <x v="2"/>
    <x v="3"/>
    <s v="Wood Cabinet"/>
    <n v="4"/>
    <n v="18361"/>
    <n v="73444"/>
    <s v="Apr-2024"/>
    <x v="1"/>
  </r>
  <r>
    <s v="ORD1215"/>
    <x v="65"/>
    <x v="1"/>
    <s v="Kolkata"/>
    <x v="2"/>
    <x v="1"/>
    <x v="2"/>
    <s v="Small Stapler"/>
    <n v="3"/>
    <n v="36291"/>
    <n v="108873"/>
    <s v="Apr-2024"/>
    <x v="1"/>
  </r>
  <r>
    <s v="ORD1216"/>
    <x v="162"/>
    <x v="3"/>
    <s v="Pune"/>
    <x v="0"/>
    <x v="2"/>
    <x v="3"/>
    <s v="Wood Cabinet"/>
    <n v="12"/>
    <n v="49186"/>
    <n v="590232"/>
    <s v="Jan-2024"/>
    <x v="2"/>
  </r>
  <r>
    <s v="ORD1217"/>
    <x v="163"/>
    <x v="2"/>
    <s v="Delhi"/>
    <x v="1"/>
    <x v="2"/>
    <x v="4"/>
    <s v="Study Table"/>
    <n v="19"/>
    <n v="46210"/>
    <n v="877990"/>
    <s v="Oct-2024"/>
    <x v="3"/>
  </r>
  <r>
    <s v="ORD1218"/>
    <x v="164"/>
    <x v="1"/>
    <s v="Kolkata"/>
    <x v="5"/>
    <x v="0"/>
    <x v="5"/>
    <s v="Hp Laptop"/>
    <n v="19"/>
    <n v="33376"/>
    <n v="634144"/>
    <s v="Oct-2024"/>
    <x v="3"/>
  </r>
  <r>
    <s v="ORD1219"/>
    <x v="80"/>
    <x v="2"/>
    <s v="Chandigarh"/>
    <x v="4"/>
    <x v="2"/>
    <x v="4"/>
    <s v="Study Table"/>
    <n v="15"/>
    <n v="22149"/>
    <n v="332235"/>
    <s v="Jan-2024"/>
    <x v="2"/>
  </r>
  <r>
    <s v="ORD1220"/>
    <x v="165"/>
    <x v="3"/>
    <s v="Mumbai"/>
    <x v="1"/>
    <x v="1"/>
    <x v="1"/>
    <s v="Gel Pen"/>
    <n v="6"/>
    <n v="16801"/>
    <n v="100806"/>
    <s v="Sep-2024"/>
    <x v="0"/>
  </r>
  <r>
    <s v="ORD1221"/>
    <x v="166"/>
    <x v="2"/>
    <s v="Delhi"/>
    <x v="1"/>
    <x v="0"/>
    <x v="5"/>
    <s v="Lenovo Laptop"/>
    <n v="17"/>
    <n v="13323"/>
    <n v="226491"/>
    <s v="Mar-2024"/>
    <x v="2"/>
  </r>
  <r>
    <s v="ORD1222"/>
    <x v="6"/>
    <x v="0"/>
    <s v="Chennai"/>
    <x v="4"/>
    <x v="2"/>
    <x v="8"/>
    <s v="Plastic Chair"/>
    <n v="11"/>
    <n v="25888"/>
    <n v="284768"/>
    <s v="Sep-2024"/>
    <x v="0"/>
  </r>
  <r>
    <s v="ORD1223"/>
    <x v="167"/>
    <x v="2"/>
    <s v="Delhi"/>
    <x v="2"/>
    <x v="1"/>
    <x v="1"/>
    <s v="Gel Pen"/>
    <n v="10"/>
    <n v="38293"/>
    <n v="382930"/>
    <s v="Dec-2024"/>
    <x v="3"/>
  </r>
  <r>
    <s v="ORD1224"/>
    <x v="168"/>
    <x v="1"/>
    <s v="Patna"/>
    <x v="1"/>
    <x v="2"/>
    <x v="4"/>
    <s v="Study Table"/>
    <n v="4"/>
    <n v="43398"/>
    <n v="173592"/>
    <s v="Sep-2024"/>
    <x v="0"/>
  </r>
  <r>
    <s v="ORD1225"/>
    <x v="69"/>
    <x v="1"/>
    <s v="Patna"/>
    <x v="0"/>
    <x v="1"/>
    <x v="6"/>
    <s v="Classmate Notebook"/>
    <n v="7"/>
    <n v="46181"/>
    <n v="323267"/>
    <s v="Feb-2024"/>
    <x v="2"/>
  </r>
  <r>
    <s v="ORD1226"/>
    <x v="169"/>
    <x v="1"/>
    <s v="Patna"/>
    <x v="2"/>
    <x v="1"/>
    <x v="2"/>
    <s v="Small Stapler"/>
    <n v="15"/>
    <n v="39765"/>
    <n v="596475"/>
    <s v="Nov-2024"/>
    <x v="3"/>
  </r>
  <r>
    <s v="ORD1227"/>
    <x v="170"/>
    <x v="1"/>
    <s v="Kolkata"/>
    <x v="0"/>
    <x v="2"/>
    <x v="3"/>
    <s v="Wood Cabinet"/>
    <n v="20"/>
    <n v="35570"/>
    <n v="711400"/>
    <s v="Oct-2024"/>
    <x v="3"/>
  </r>
  <r>
    <s v="ORD1228"/>
    <x v="14"/>
    <x v="3"/>
    <s v="Pune"/>
    <x v="0"/>
    <x v="2"/>
    <x v="8"/>
    <s v="Office Chair"/>
    <n v="12"/>
    <n v="15413"/>
    <n v="184956"/>
    <s v="Aug-2024"/>
    <x v="0"/>
  </r>
  <r>
    <s v="ORD1229"/>
    <x v="117"/>
    <x v="1"/>
    <s v="Kolkata"/>
    <x v="5"/>
    <x v="1"/>
    <x v="6"/>
    <s v="Classmate Notebook"/>
    <n v="13"/>
    <n v="28862"/>
    <n v="375206"/>
    <s v="Dec-2024"/>
    <x v="3"/>
  </r>
  <r>
    <s v="ORD1230"/>
    <x v="57"/>
    <x v="2"/>
    <s v="Chandigarh"/>
    <x v="2"/>
    <x v="0"/>
    <x v="0"/>
    <s v="iPhone"/>
    <n v="2"/>
    <n v="20282"/>
    <n v="40564"/>
    <s v="May-2024"/>
    <x v="1"/>
  </r>
  <r>
    <s v="ORD1231"/>
    <x v="171"/>
    <x v="1"/>
    <s v="Kolkata"/>
    <x v="1"/>
    <x v="2"/>
    <x v="4"/>
    <s v="Office Desk"/>
    <n v="7"/>
    <n v="47162"/>
    <n v="330134"/>
    <s v="Oct-2024"/>
    <x v="3"/>
  </r>
  <r>
    <s v="ORD1232"/>
    <x v="172"/>
    <x v="2"/>
    <s v="Jaipur"/>
    <x v="4"/>
    <x v="0"/>
    <x v="7"/>
    <s v="Hp Printer"/>
    <n v="14"/>
    <n v="40008"/>
    <n v="560112"/>
    <s v="Mar-2024"/>
    <x v="2"/>
  </r>
  <r>
    <s v="ORD1233"/>
    <x v="13"/>
    <x v="3"/>
    <s v="Mumbai"/>
    <x v="2"/>
    <x v="0"/>
    <x v="7"/>
    <s v="Hp Printer"/>
    <n v="12"/>
    <n v="20025"/>
    <n v="240300"/>
    <s v="Sep-2024"/>
    <x v="0"/>
  </r>
  <r>
    <s v="ORD1234"/>
    <x v="69"/>
    <x v="3"/>
    <s v="Pune"/>
    <x v="5"/>
    <x v="2"/>
    <x v="3"/>
    <s v="Wood Cabinet"/>
    <n v="14"/>
    <n v="15378"/>
    <n v="215292"/>
    <s v="Feb-2024"/>
    <x v="2"/>
  </r>
  <r>
    <s v="ORD1235"/>
    <x v="173"/>
    <x v="2"/>
    <s v="Chandigarh"/>
    <x v="0"/>
    <x v="0"/>
    <x v="7"/>
    <s v="Hp Printer"/>
    <n v="13"/>
    <n v="13972"/>
    <n v="181636"/>
    <s v="May-2024"/>
    <x v="1"/>
  </r>
  <r>
    <s v="ORD1236"/>
    <x v="174"/>
    <x v="0"/>
    <s v="Hyderabad"/>
    <x v="4"/>
    <x v="2"/>
    <x v="3"/>
    <s v="Wood Cabinet"/>
    <n v="15"/>
    <n v="32831"/>
    <n v="492465"/>
    <s v="Jan-2024"/>
    <x v="2"/>
  </r>
  <r>
    <s v="ORD1237"/>
    <x v="175"/>
    <x v="0"/>
    <s v="Hyderabad"/>
    <x v="2"/>
    <x v="0"/>
    <x v="5"/>
    <s v="Dell Laptop"/>
    <n v="11"/>
    <n v="33833"/>
    <n v="372163"/>
    <s v="Aug-2024"/>
    <x v="0"/>
  </r>
  <r>
    <s v="ORD1238"/>
    <x v="176"/>
    <x v="1"/>
    <s v="Bhubaneswar"/>
    <x v="4"/>
    <x v="1"/>
    <x v="1"/>
    <s v="Ball Pen"/>
    <n v="14"/>
    <n v="940"/>
    <n v="13160"/>
    <s v="Oct-2024"/>
    <x v="3"/>
  </r>
  <r>
    <s v="ORD1239"/>
    <x v="45"/>
    <x v="3"/>
    <s v="Mumbai"/>
    <x v="5"/>
    <x v="1"/>
    <x v="6"/>
    <s v="Classmate Notebook"/>
    <n v="20"/>
    <n v="49214"/>
    <n v="984280"/>
    <s v="Sep-2024"/>
    <x v="0"/>
  </r>
  <r>
    <s v="ORD1240"/>
    <x v="123"/>
    <x v="3"/>
    <s v="Pune"/>
    <x v="2"/>
    <x v="2"/>
    <x v="8"/>
    <s v="Office Chair"/>
    <n v="17"/>
    <n v="33897"/>
    <n v="576249"/>
    <s v="Feb-2024"/>
    <x v="2"/>
  </r>
  <r>
    <s v="ORD1241"/>
    <x v="177"/>
    <x v="0"/>
    <s v="Bangalore"/>
    <x v="1"/>
    <x v="2"/>
    <x v="8"/>
    <s v="Office Chair"/>
    <n v="2"/>
    <n v="27917"/>
    <n v="55834"/>
    <s v="Apr-2024"/>
    <x v="1"/>
  </r>
  <r>
    <s v="ORD1242"/>
    <x v="49"/>
    <x v="2"/>
    <s v="Delhi"/>
    <x v="4"/>
    <x v="0"/>
    <x v="5"/>
    <s v="Hp Laptop"/>
    <n v="11"/>
    <n v="1428"/>
    <n v="15708"/>
    <s v="Oct-2024"/>
    <x v="3"/>
  </r>
  <r>
    <s v="ORD1243"/>
    <x v="136"/>
    <x v="2"/>
    <s v="Chandigarh"/>
    <x v="4"/>
    <x v="0"/>
    <x v="0"/>
    <s v="iPhone"/>
    <n v="19"/>
    <n v="36288"/>
    <n v="689472"/>
    <s v="May-2024"/>
    <x v="1"/>
  </r>
  <r>
    <s v="ORD1244"/>
    <x v="89"/>
    <x v="3"/>
    <s v="Mumbai"/>
    <x v="5"/>
    <x v="0"/>
    <x v="5"/>
    <s v="Dell Laptop"/>
    <n v="18"/>
    <n v="46111"/>
    <n v="829998"/>
    <s v="Jan-2024"/>
    <x v="2"/>
  </r>
  <r>
    <s v="ORD1245"/>
    <x v="152"/>
    <x v="1"/>
    <s v="Kolkata"/>
    <x v="1"/>
    <x v="2"/>
    <x v="4"/>
    <s v="Office Desk"/>
    <n v="19"/>
    <n v="12327"/>
    <n v="234213"/>
    <s v="Mar-2024"/>
    <x v="2"/>
  </r>
  <r>
    <s v="ORD1246"/>
    <x v="158"/>
    <x v="2"/>
    <s v="Delhi"/>
    <x v="1"/>
    <x v="0"/>
    <x v="5"/>
    <s v="Hp Laptop"/>
    <n v="2"/>
    <n v="20769"/>
    <n v="41538"/>
    <s v="Jun-2024"/>
    <x v="1"/>
  </r>
  <r>
    <s v="ORD1247"/>
    <x v="94"/>
    <x v="0"/>
    <s v="Bangalore"/>
    <x v="4"/>
    <x v="2"/>
    <x v="8"/>
    <s v="Office Chair"/>
    <n v="12"/>
    <n v="4021"/>
    <n v="48252"/>
    <s v="Jan-2024"/>
    <x v="2"/>
  </r>
  <r>
    <s v="ORD1248"/>
    <x v="178"/>
    <x v="2"/>
    <s v="Jaipur"/>
    <x v="1"/>
    <x v="0"/>
    <x v="5"/>
    <s v="Lenovo Laptop"/>
    <n v="2"/>
    <n v="13462"/>
    <n v="26924"/>
    <s v="Apr-2024"/>
    <x v="1"/>
  </r>
  <r>
    <s v="ORD1249"/>
    <x v="179"/>
    <x v="2"/>
    <s v="Chandigarh"/>
    <x v="4"/>
    <x v="1"/>
    <x v="1"/>
    <s v="Gel Pen"/>
    <n v="9"/>
    <n v="34751"/>
    <n v="312759"/>
    <s v="Apr-2024"/>
    <x v="1"/>
  </r>
  <r>
    <s v="ORD1250"/>
    <x v="180"/>
    <x v="1"/>
    <s v="Kolkata"/>
    <x v="4"/>
    <x v="1"/>
    <x v="1"/>
    <s v="Ball Pen"/>
    <n v="12"/>
    <n v="23611"/>
    <n v="283332"/>
    <s v="Apr-2024"/>
    <x v="1"/>
  </r>
  <r>
    <s v="ORD1251"/>
    <x v="181"/>
    <x v="1"/>
    <s v="Patna"/>
    <x v="0"/>
    <x v="1"/>
    <x v="6"/>
    <s v="Classmate Notebook"/>
    <n v="8"/>
    <n v="32269"/>
    <n v="258152"/>
    <s v="Feb-2024"/>
    <x v="2"/>
  </r>
  <r>
    <s v="ORD1252"/>
    <x v="182"/>
    <x v="3"/>
    <s v="Mumbai"/>
    <x v="1"/>
    <x v="1"/>
    <x v="2"/>
    <s v="Small Stapler"/>
    <n v="14"/>
    <n v="18348"/>
    <n v="256872"/>
    <s v="May-2024"/>
    <x v="1"/>
  </r>
  <r>
    <s v="ORD1253"/>
    <x v="183"/>
    <x v="3"/>
    <s v="Pune"/>
    <x v="4"/>
    <x v="2"/>
    <x v="4"/>
    <s v="Office Desk"/>
    <n v="11"/>
    <n v="26155"/>
    <n v="287705"/>
    <s v="Jul-2024"/>
    <x v="0"/>
  </r>
  <r>
    <s v="ORD1254"/>
    <x v="126"/>
    <x v="1"/>
    <s v="Patna"/>
    <x v="5"/>
    <x v="0"/>
    <x v="0"/>
    <s v="iPhone"/>
    <n v="10"/>
    <n v="37346"/>
    <n v="373460"/>
    <s v="Jun-2024"/>
    <x v="1"/>
  </r>
  <r>
    <s v="ORD1255"/>
    <x v="114"/>
    <x v="0"/>
    <s v="Hyderabad"/>
    <x v="0"/>
    <x v="1"/>
    <x v="2"/>
    <s v="Small Stapler"/>
    <n v="5"/>
    <n v="9059"/>
    <n v="45295"/>
    <s v="Mar-2024"/>
    <x v="2"/>
  </r>
  <r>
    <s v="ORD1256"/>
    <x v="184"/>
    <x v="0"/>
    <s v="Bangalore"/>
    <x v="4"/>
    <x v="1"/>
    <x v="6"/>
    <s v="Classmate Notebook"/>
    <n v="6"/>
    <n v="18371"/>
    <n v="110226"/>
    <s v="Jul-2024"/>
    <x v="0"/>
  </r>
  <r>
    <s v="ORD1257"/>
    <x v="185"/>
    <x v="1"/>
    <s v="Bhubaneswar"/>
    <x v="4"/>
    <x v="0"/>
    <x v="0"/>
    <s v="iPhone"/>
    <n v="15"/>
    <n v="7240"/>
    <n v="108600"/>
    <s v="Oct-2024"/>
    <x v="3"/>
  </r>
  <r>
    <s v="ORD1258"/>
    <x v="7"/>
    <x v="0"/>
    <s v="Hyderabad"/>
    <x v="2"/>
    <x v="2"/>
    <x v="8"/>
    <s v="Office Chair"/>
    <n v="2"/>
    <n v="3271"/>
    <n v="6542"/>
    <s v="Sep-2024"/>
    <x v="0"/>
  </r>
  <r>
    <s v="ORD1259"/>
    <x v="6"/>
    <x v="0"/>
    <s v="Hyderabad"/>
    <x v="4"/>
    <x v="2"/>
    <x v="3"/>
    <s v="Wood Cabinet"/>
    <n v="17"/>
    <n v="41293"/>
    <n v="701981"/>
    <s v="Sep-2024"/>
    <x v="0"/>
  </r>
  <r>
    <s v="ORD1260"/>
    <x v="186"/>
    <x v="3"/>
    <s v="Pune"/>
    <x v="1"/>
    <x v="1"/>
    <x v="1"/>
    <s v="Gel Pen"/>
    <n v="9"/>
    <n v="40432"/>
    <n v="363888"/>
    <s v="Jul-2024"/>
    <x v="0"/>
  </r>
  <r>
    <s v="ORD1261"/>
    <x v="170"/>
    <x v="0"/>
    <s v="Bangalore"/>
    <x v="0"/>
    <x v="0"/>
    <x v="0"/>
    <s v="Samsung Phone"/>
    <n v="8"/>
    <n v="23775"/>
    <n v="190200"/>
    <s v="Oct-2024"/>
    <x v="3"/>
  </r>
  <r>
    <s v="ORD1262"/>
    <x v="187"/>
    <x v="2"/>
    <s v="Delhi"/>
    <x v="1"/>
    <x v="2"/>
    <x v="3"/>
    <s v="Wood Cabinet"/>
    <n v="5"/>
    <n v="14798"/>
    <n v="73990"/>
    <s v="Apr-2024"/>
    <x v="1"/>
  </r>
  <r>
    <s v="ORD1263"/>
    <x v="10"/>
    <x v="3"/>
    <s v="Ahmedabad"/>
    <x v="1"/>
    <x v="2"/>
    <x v="8"/>
    <s v="Office Chair"/>
    <n v="10"/>
    <n v="37778"/>
    <n v="377780"/>
    <s v="Apr-2024"/>
    <x v="1"/>
  </r>
  <r>
    <s v="ORD1264"/>
    <x v="188"/>
    <x v="1"/>
    <s v="Bhubaneswar"/>
    <x v="2"/>
    <x v="1"/>
    <x v="2"/>
    <s v="Small Stapler"/>
    <n v="12"/>
    <n v="13010"/>
    <n v="156120"/>
    <s v="Apr-2024"/>
    <x v="1"/>
  </r>
  <r>
    <s v="ORD1265"/>
    <x v="189"/>
    <x v="1"/>
    <s v="Kolkata"/>
    <x v="5"/>
    <x v="2"/>
    <x v="8"/>
    <s v="Office Chair"/>
    <n v="7"/>
    <n v="1589"/>
    <n v="11123"/>
    <s v="Mar-2024"/>
    <x v="2"/>
  </r>
  <r>
    <s v="ORD1266"/>
    <x v="78"/>
    <x v="0"/>
    <s v="Chennai"/>
    <x v="1"/>
    <x v="2"/>
    <x v="8"/>
    <s v="Office Chair"/>
    <n v="20"/>
    <n v="15753"/>
    <n v="315060"/>
    <s v="Jul-2024"/>
    <x v="0"/>
  </r>
  <r>
    <s v="ORD1267"/>
    <x v="190"/>
    <x v="0"/>
    <s v="Bangalore"/>
    <x v="4"/>
    <x v="2"/>
    <x v="3"/>
    <s v="Wood Cabinet"/>
    <n v="6"/>
    <n v="37891"/>
    <n v="227346"/>
    <s v="Nov-2024"/>
    <x v="3"/>
  </r>
  <r>
    <s v="ORD1268"/>
    <x v="156"/>
    <x v="2"/>
    <s v="Delhi"/>
    <x v="4"/>
    <x v="2"/>
    <x v="4"/>
    <s v="Study Table"/>
    <n v="16"/>
    <n v="36845"/>
    <n v="589520"/>
    <s v="Jan-2024"/>
    <x v="2"/>
  </r>
  <r>
    <s v="ORD1269"/>
    <x v="90"/>
    <x v="3"/>
    <s v="Mumbai"/>
    <x v="2"/>
    <x v="2"/>
    <x v="8"/>
    <s v="Plastic Chair"/>
    <n v="10"/>
    <n v="39856"/>
    <n v="398560"/>
    <s v="Dec-2024"/>
    <x v="3"/>
  </r>
  <r>
    <s v="ORD1270"/>
    <x v="105"/>
    <x v="3"/>
    <s v="Ahmedabad"/>
    <x v="1"/>
    <x v="0"/>
    <x v="0"/>
    <s v="Samsung Phone"/>
    <n v="9"/>
    <n v="4324"/>
    <n v="38916"/>
    <s v="Jul-2024"/>
    <x v="0"/>
  </r>
  <r>
    <s v="ORD1271"/>
    <x v="91"/>
    <x v="3"/>
    <s v="Mumbai"/>
    <x v="4"/>
    <x v="0"/>
    <x v="0"/>
    <s v="iPhone"/>
    <n v="9"/>
    <n v="20268"/>
    <n v="182412"/>
    <s v="Jun-2024"/>
    <x v="1"/>
  </r>
  <r>
    <s v="ORD1272"/>
    <x v="191"/>
    <x v="1"/>
    <s v="Bhubaneswar"/>
    <x v="4"/>
    <x v="0"/>
    <x v="0"/>
    <s v="iPhone"/>
    <n v="2"/>
    <n v="7789"/>
    <n v="15578"/>
    <s v="Nov-2024"/>
    <x v="3"/>
  </r>
  <r>
    <s v="ORD1273"/>
    <x v="184"/>
    <x v="1"/>
    <s v="Bhubaneswar"/>
    <x v="2"/>
    <x v="1"/>
    <x v="1"/>
    <s v="Ball Pen"/>
    <n v="16"/>
    <n v="37950"/>
    <n v="607200"/>
    <s v="Jul-2024"/>
    <x v="0"/>
  </r>
  <r>
    <s v="ORD1274"/>
    <x v="192"/>
    <x v="4"/>
    <s v="Ahmedabad"/>
    <x v="5"/>
    <x v="2"/>
    <x v="3"/>
    <s v="Wood Cabinet"/>
    <n v="12"/>
    <n v="6399"/>
    <n v="76788"/>
    <s v="Jun-2024"/>
    <x v="1"/>
  </r>
  <r>
    <s v="ORD1275"/>
    <x v="193"/>
    <x v="1"/>
    <s v="Bhubaneswar"/>
    <x v="0"/>
    <x v="1"/>
    <x v="2"/>
    <s v="Small Stapler"/>
    <n v="5"/>
    <n v="31731"/>
    <n v="158655"/>
    <s v="Jul-2024"/>
    <x v="0"/>
  </r>
  <r>
    <s v="ORD1276"/>
    <x v="83"/>
    <x v="0"/>
    <s v="Bangalore"/>
    <x v="1"/>
    <x v="1"/>
    <x v="2"/>
    <s v="Small Stapler"/>
    <n v="2"/>
    <n v="34236"/>
    <n v="68472"/>
    <s v="Feb-2024"/>
    <x v="2"/>
  </r>
  <r>
    <s v="ORD1277"/>
    <x v="194"/>
    <x v="1"/>
    <s v="Patna"/>
    <x v="5"/>
    <x v="2"/>
    <x v="3"/>
    <s v="Wood Cabinet"/>
    <n v="19"/>
    <n v="46614"/>
    <n v="885666"/>
    <s v="Sep-2024"/>
    <x v="0"/>
  </r>
  <r>
    <s v="ORD1278"/>
    <x v="74"/>
    <x v="1"/>
    <s v="Bhubaneswar"/>
    <x v="0"/>
    <x v="0"/>
    <x v="0"/>
    <s v="Oneplus Phone"/>
    <n v="6"/>
    <n v="39087"/>
    <n v="234522"/>
    <s v="Oct-2024"/>
    <x v="3"/>
  </r>
  <r>
    <s v="ORD1279"/>
    <x v="195"/>
    <x v="3"/>
    <s v="Mumbai"/>
    <x v="5"/>
    <x v="1"/>
    <x v="6"/>
    <s v="Classmate Notebook"/>
    <n v="18"/>
    <n v="20096"/>
    <n v="361728"/>
    <s v="Aug-2024"/>
    <x v="0"/>
  </r>
  <r>
    <s v="ORD1280"/>
    <x v="196"/>
    <x v="2"/>
    <s v="Jaipur"/>
    <x v="0"/>
    <x v="2"/>
    <x v="8"/>
    <s v="Office Chair"/>
    <n v="2"/>
    <n v="24059"/>
    <n v="48118"/>
    <s v="Mar-2024"/>
    <x v="2"/>
  </r>
  <r>
    <s v="ORD1281"/>
    <x v="124"/>
    <x v="3"/>
    <s v="Mumbai"/>
    <x v="2"/>
    <x v="1"/>
    <x v="6"/>
    <s v="Classmate Notebook"/>
    <n v="8"/>
    <n v="40140"/>
    <n v="321120"/>
    <s v="Jan-2024"/>
    <x v="2"/>
  </r>
  <r>
    <s v="ORD1282"/>
    <x v="154"/>
    <x v="2"/>
    <s v="Jaipur"/>
    <x v="0"/>
    <x v="1"/>
    <x v="1"/>
    <s v="Gel Pen"/>
    <n v="4"/>
    <n v="20831"/>
    <n v="83324"/>
    <s v="Jul-2024"/>
    <x v="0"/>
  </r>
  <r>
    <s v="ORD1283"/>
    <x v="197"/>
    <x v="3"/>
    <s v="Mumbai"/>
    <x v="2"/>
    <x v="0"/>
    <x v="0"/>
    <s v="iPhone"/>
    <n v="17"/>
    <n v="20395"/>
    <n v="346715"/>
    <s v="Apr-2024"/>
    <x v="1"/>
  </r>
  <r>
    <s v="ORD1284"/>
    <x v="14"/>
    <x v="0"/>
    <s v="Hyderabad"/>
    <x v="2"/>
    <x v="1"/>
    <x v="6"/>
    <s v="Classmate Notebook"/>
    <n v="18"/>
    <n v="20587"/>
    <n v="370566"/>
    <s v="Aug-2024"/>
    <x v="0"/>
  </r>
  <r>
    <s v="ORD1285"/>
    <x v="51"/>
    <x v="0"/>
    <s v="Hyderabad"/>
    <x v="5"/>
    <x v="1"/>
    <x v="2"/>
    <s v="Small Stapler"/>
    <n v="10"/>
    <n v="44337"/>
    <n v="443370"/>
    <s v="Oct-2024"/>
    <x v="3"/>
  </r>
  <r>
    <s v="ORD1286"/>
    <x v="198"/>
    <x v="0"/>
    <s v="Hyderabad"/>
    <x v="0"/>
    <x v="0"/>
    <x v="0"/>
    <s v="iPhone"/>
    <n v="17"/>
    <n v="48342"/>
    <n v="821814"/>
    <s v="Aug-2024"/>
    <x v="0"/>
  </r>
  <r>
    <s v="ORD1287"/>
    <x v="183"/>
    <x v="0"/>
    <s v="Hyderabad"/>
    <x v="5"/>
    <x v="2"/>
    <x v="4"/>
    <s v="Office Desk"/>
    <n v="2"/>
    <n v="5781"/>
    <n v="11562"/>
    <s v="Jul-2024"/>
    <x v="0"/>
  </r>
  <r>
    <s v="ORD1288"/>
    <x v="58"/>
    <x v="2"/>
    <s v="Delhi"/>
    <x v="0"/>
    <x v="1"/>
    <x v="6"/>
    <s v="Classmate Notebook"/>
    <n v="6"/>
    <n v="31331"/>
    <n v="187986"/>
    <s v="Aug-2024"/>
    <x v="0"/>
  </r>
  <r>
    <s v="ORD1289"/>
    <x v="145"/>
    <x v="1"/>
    <s v="Patna"/>
    <x v="0"/>
    <x v="1"/>
    <x v="1"/>
    <s v="Gel Pen"/>
    <n v="16"/>
    <n v="25741"/>
    <n v="411856"/>
    <s v="Oct-2024"/>
    <x v="3"/>
  </r>
  <r>
    <s v="ORD1290"/>
    <x v="197"/>
    <x v="3"/>
    <s v="Pune"/>
    <x v="1"/>
    <x v="0"/>
    <x v="7"/>
    <s v="Canon Printer"/>
    <n v="18"/>
    <n v="4168"/>
    <n v="75024"/>
    <s v="Apr-2024"/>
    <x v="1"/>
  </r>
  <r>
    <s v="ORD1291"/>
    <x v="199"/>
    <x v="2"/>
    <s v="Chandigarh"/>
    <x v="4"/>
    <x v="0"/>
    <x v="0"/>
    <s v="Samsung Phone"/>
    <n v="4"/>
    <n v="25649"/>
    <n v="102596"/>
    <s v="Aug-2024"/>
    <x v="0"/>
  </r>
  <r>
    <s v="ORD1292"/>
    <x v="200"/>
    <x v="2"/>
    <s v="Chandigarh"/>
    <x v="4"/>
    <x v="2"/>
    <x v="4"/>
    <s v="Office Desk"/>
    <n v="17"/>
    <n v="6493"/>
    <n v="110381"/>
    <s v="Aug-2024"/>
    <x v="0"/>
  </r>
  <r>
    <s v="ORD1293"/>
    <x v="13"/>
    <x v="0"/>
    <s v="Chennai"/>
    <x v="5"/>
    <x v="1"/>
    <x v="6"/>
    <s v="Classmate Notebook"/>
    <n v="11"/>
    <n v="9765"/>
    <n v="107415"/>
    <s v="Sep-2024"/>
    <x v="0"/>
  </r>
  <r>
    <s v="ORD1294"/>
    <x v="201"/>
    <x v="3"/>
    <s v="Mumbai"/>
    <x v="0"/>
    <x v="1"/>
    <x v="1"/>
    <s v="Gel Pen"/>
    <n v="5"/>
    <n v="6976"/>
    <n v="34880"/>
    <s v="Apr-2024"/>
    <x v="1"/>
  </r>
  <r>
    <s v="ORD1295"/>
    <x v="202"/>
    <x v="2"/>
    <s v="Jaipur"/>
    <x v="2"/>
    <x v="0"/>
    <x v="0"/>
    <s v="iPhone"/>
    <n v="11"/>
    <n v="18558"/>
    <n v="204138"/>
    <s v="Jul-2024"/>
    <x v="0"/>
  </r>
  <r>
    <s v="ORD1296"/>
    <x v="126"/>
    <x v="1"/>
    <s v="Kolkata"/>
    <x v="4"/>
    <x v="2"/>
    <x v="4"/>
    <s v="Office Desk"/>
    <n v="19"/>
    <n v="25560"/>
    <n v="485640"/>
    <s v="Jun-2024"/>
    <x v="1"/>
  </r>
  <r>
    <s v="ORD1297"/>
    <x v="197"/>
    <x v="3"/>
    <s v="Pune"/>
    <x v="0"/>
    <x v="0"/>
    <x v="5"/>
    <s v="Dell Laptop"/>
    <n v="5"/>
    <n v="30263"/>
    <n v="151315"/>
    <s v="Apr-2024"/>
    <x v="1"/>
  </r>
  <r>
    <s v="ORD1298"/>
    <x v="119"/>
    <x v="2"/>
    <s v="Chandigarh"/>
    <x v="0"/>
    <x v="0"/>
    <x v="7"/>
    <s v="Canon Printer"/>
    <n v="18"/>
    <n v="41847"/>
    <n v="753246"/>
    <s v="Jun-2024"/>
    <x v="1"/>
  </r>
  <r>
    <s v="ORD1299"/>
    <x v="192"/>
    <x v="3"/>
    <s v="Ahmedabad"/>
    <x v="0"/>
    <x v="1"/>
    <x v="6"/>
    <s v="Classmate Notebook"/>
    <n v="13"/>
    <n v="35344"/>
    <n v="459472"/>
    <s v="Jun-20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CEBC8-31F1-43F8-A176-A15237E784AA}" name="Region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5">
    <pivotField showAll="0"/>
    <pivotField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axis="axisRow" showAll="0">
      <items count="6">
        <item x="1"/>
        <item x="2"/>
        <item x="0"/>
        <item x="4"/>
        <item x="3"/>
        <item t="default"/>
      </items>
    </pivotField>
    <pivotField showAll="0"/>
    <pivotField showAll="0"/>
    <pivotField showAll="0"/>
    <pivotField showAll="0"/>
    <pivotField showAll="0"/>
    <pivotField showAll="0"/>
    <pivotField numFmtId="164" showAll="0"/>
    <pivotField dataField="1" numFmtId="164"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_Revenue" fld="10" baseField="0" baseItem="0" numFmtId="164"/>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E0D41-0FE5-4BFE-863C-6A6F6CBF0AA5}" name="Month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C15" firstHeaderRow="0" firstDataRow="1" firstDataCol="1"/>
  <pivotFields count="15">
    <pivotField showAll="0"/>
    <pivotField axis="axisRow"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showAll="0">
      <items count="6">
        <item x="1"/>
        <item x="2"/>
        <item x="0"/>
        <item x="4"/>
        <item x="3"/>
        <item t="default"/>
      </items>
    </pivotField>
    <pivotField showAll="0"/>
    <pivotField showAll="0"/>
    <pivotField showAll="0"/>
    <pivotField showAll="0"/>
    <pivotField showAll="0"/>
    <pivotField dataField="1" showAll="0"/>
    <pivotField numFmtId="164" showAll="0"/>
    <pivotField dataField="1" numFmtId="164"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Revenue" fld="10" baseField="0" baseItem="0" numFmtId="164"/>
    <dataField name="Sum of Units_Sold" fld="8" baseField="0" baseItem="0"/>
  </dataField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4" count="1" selected="0">
            <x v="12"/>
          </reference>
        </references>
      </pivotArea>
    </chartFormat>
    <chartFormat chart="24" format="6">
      <pivotArea type="data" outline="0" fieldPosition="0">
        <references count="2">
          <reference field="4294967294" count="1" selected="0">
            <x v="1"/>
          </reference>
          <reference field="14" count="1" selected="0">
            <x v="12"/>
          </reference>
        </references>
      </pivotArea>
    </chartFormat>
    <chartFormat chart="24" format="7">
      <pivotArea type="data" outline="0" fieldPosition="0">
        <references count="2">
          <reference field="4294967294" count="1" selected="0">
            <x v="0"/>
          </reference>
          <reference field="14" count="1" selected="0">
            <x v="12"/>
          </reference>
        </references>
      </pivotArea>
    </chartFormat>
    <chartFormat chart="0" format="3">
      <pivotArea type="data" outline="0" fieldPosition="0">
        <references count="2">
          <reference field="4294967294" count="1" selected="0">
            <x v="0"/>
          </reference>
          <reference field="14" count="1" selected="0">
            <x v="12"/>
          </reference>
        </references>
      </pivotArea>
    </chartFormat>
    <chartFormat chart="24" format="8">
      <pivotArea type="data" outline="0" fieldPosition="0">
        <references count="2">
          <reference field="4294967294" count="1" selected="0">
            <x v="0"/>
          </reference>
          <reference field="14" count="1" selected="0">
            <x v="11"/>
          </reference>
        </references>
      </pivotArea>
    </chartFormat>
    <chartFormat chart="24" format="9">
      <pivotArea type="data" outline="0" fieldPosition="0">
        <references count="2">
          <reference field="4294967294" count="1" selected="0">
            <x v="1"/>
          </reference>
          <reference field="14" count="1" selected="0">
            <x v="6"/>
          </reference>
        </references>
      </pivotArea>
    </chartFormat>
    <chartFormat chart="24" format="10">
      <pivotArea type="data" outline="0" fieldPosition="0">
        <references count="2">
          <reference field="4294967294" count="1" selected="0">
            <x v="0"/>
          </reference>
          <reference field="14" count="1" selected="0">
            <x v="4"/>
          </reference>
        </references>
      </pivotArea>
    </chartFormat>
    <chartFormat chart="24" format="11">
      <pivotArea type="data" outline="0" fieldPosition="0">
        <references count="2">
          <reference field="4294967294" count="1" selected="0">
            <x v="1"/>
          </reference>
          <reference field="14" count="1" selected="0">
            <x v="2"/>
          </reference>
        </references>
      </pivotArea>
    </chartFormat>
    <chartFormat chart="24" format="12">
      <pivotArea type="data" outline="0" fieldPosition="0">
        <references count="2">
          <reference field="4294967294" count="1" selected="0">
            <x v="0"/>
          </reference>
          <reference field="14" count="1" selected="0">
            <x v="2"/>
          </reference>
        </references>
      </pivotArea>
    </chartFormat>
    <chartFormat chart="24" format="13">
      <pivotArea type="data" outline="0" fieldPosition="0">
        <references count="2">
          <reference field="4294967294" count="1" selected="0">
            <x v="1"/>
          </reference>
          <reference field="14" count="1" selected="0">
            <x v="1"/>
          </reference>
        </references>
      </pivotArea>
    </chartFormat>
    <chartFormat chart="24" format="14">
      <pivotArea type="data" outline="0" fieldPosition="0">
        <references count="2">
          <reference field="4294967294" count="1" selected="0">
            <x v="0"/>
          </reference>
          <reference field="1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671C2-39EF-4CA7-97D1-13E3728513E0}" name="Categor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5">
    <pivotField showAll="0"/>
    <pivotField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showAll="0">
      <items count="6">
        <item x="1"/>
        <item x="2"/>
        <item x="0"/>
        <item x="4"/>
        <item x="3"/>
        <item t="default"/>
      </items>
    </pivotField>
    <pivotField showAll="0"/>
    <pivotField showAll="0"/>
    <pivotField axis="axisRow" showAll="0">
      <items count="4">
        <item x="0"/>
        <item x="2"/>
        <item x="1"/>
        <item t="default"/>
      </items>
    </pivotField>
    <pivotField axis="axisRow" showAll="0">
      <items count="10">
        <item x="3"/>
        <item x="8"/>
        <item x="5"/>
        <item x="0"/>
        <item x="6"/>
        <item x="1"/>
        <item x="7"/>
        <item x="2"/>
        <item x="4"/>
        <item t="default"/>
      </items>
    </pivotField>
    <pivotField showAll="0"/>
    <pivotField dataField="1" showAll="0"/>
    <pivotField numFmtId="164" showAll="0"/>
    <pivotField dataField="1" numFmtId="16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5"/>
    <field x="6"/>
  </rowFields>
  <rowItems count="13">
    <i>
      <x/>
    </i>
    <i r="1">
      <x v="2"/>
    </i>
    <i r="1">
      <x v="3"/>
    </i>
    <i r="1">
      <x v="6"/>
    </i>
    <i>
      <x v="1"/>
    </i>
    <i r="1">
      <x/>
    </i>
    <i r="1">
      <x v="1"/>
    </i>
    <i r="1">
      <x v="8"/>
    </i>
    <i>
      <x v="2"/>
    </i>
    <i r="1">
      <x v="4"/>
    </i>
    <i r="1">
      <x v="5"/>
    </i>
    <i r="1">
      <x v="7"/>
    </i>
    <i t="grand">
      <x/>
    </i>
  </rowItems>
  <colFields count="1">
    <field x="-2"/>
  </colFields>
  <colItems count="2">
    <i>
      <x/>
    </i>
    <i i="1">
      <x v="1"/>
    </i>
  </colItems>
  <dataFields count="2">
    <dataField name="Sum of Total_Revenue" fld="10" baseField="0" baseItem="0" numFmtId="164"/>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A41EE-C34F-4042-81E7-FA2C77DDFA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C22" firstHeaderRow="0" firstDataRow="1" firstDataCol="1"/>
  <pivotFields count="15">
    <pivotField showAll="0"/>
    <pivotField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showAll="0">
      <items count="6">
        <item x="1"/>
        <item x="2"/>
        <item x="0"/>
        <item x="4"/>
        <item x="3"/>
        <item t="default"/>
      </items>
    </pivotField>
    <pivotField showAll="0"/>
    <pivotField showAll="0"/>
    <pivotField axis="axisRow" showAll="0">
      <items count="4">
        <item x="0"/>
        <item x="2"/>
        <item x="1"/>
        <item t="default"/>
      </items>
    </pivotField>
    <pivotField showAll="0"/>
    <pivotField showAll="0"/>
    <pivotField dataField="1" showAll="0"/>
    <pivotField numFmtId="164" showAll="0"/>
    <pivotField dataField="1" numFmtId="16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Fields count="1">
    <field x="-2"/>
  </colFields>
  <colItems count="2">
    <i>
      <x/>
    </i>
    <i i="1">
      <x v="1"/>
    </i>
  </colItems>
  <dataFields count="2">
    <dataField name="Sum of Total_Revenue" fld="10" baseField="0" baseItem="0" numFmtId="164"/>
    <dataField name="Sum of Units_Sold" fld="8" baseField="0" baseItem="0"/>
  </dataField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1"/>
          </reference>
          <reference field="5" count="1" selected="0">
            <x v="0"/>
          </reference>
        </references>
      </pivotArea>
    </chartFormat>
    <chartFormat chart="6" format="6">
      <pivotArea type="data" outline="0" fieldPosition="0">
        <references count="2">
          <reference field="4294967294" count="1" selected="0">
            <x v="1"/>
          </reference>
          <reference field="5" count="1" selected="0">
            <x v="1"/>
          </reference>
        </references>
      </pivotArea>
    </chartFormat>
    <chartFormat chart="6" format="7">
      <pivotArea type="data" outline="0" fieldPosition="0">
        <references count="2">
          <reference field="4294967294" count="1" selected="0">
            <x v="1"/>
          </reference>
          <reference field="5"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5" count="1" selected="0">
            <x v="0"/>
          </reference>
        </references>
      </pivotArea>
    </chartFormat>
    <chartFormat chart="9" format="22">
      <pivotArea type="data" outline="0" fieldPosition="0">
        <references count="2">
          <reference field="4294967294" count="1" selected="0">
            <x v="1"/>
          </reference>
          <reference field="5" count="1" selected="0">
            <x v="1"/>
          </reference>
        </references>
      </pivotArea>
    </chartFormat>
    <chartFormat chart="9" format="23">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500A1-69D9-40EE-915A-05CD8C594926}" name="Salesperson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0" firstHeaderRow="0" firstDataRow="1" firstDataCol="1"/>
  <pivotFields count="15">
    <pivotField dataField="1" showAll="0"/>
    <pivotField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showAll="0">
      <items count="6">
        <item x="1"/>
        <item x="2"/>
        <item x="0"/>
        <item x="4"/>
        <item x="3"/>
        <item t="default"/>
      </items>
    </pivotField>
    <pivotField showAll="0"/>
    <pivotField axis="axisRow" showAll="0">
      <items count="7">
        <item x="5"/>
        <item x="2"/>
        <item x="4"/>
        <item x="0"/>
        <item x="1"/>
        <item x="3"/>
        <item t="default"/>
      </items>
    </pivotField>
    <pivotField showAll="0"/>
    <pivotField showAll="0"/>
    <pivotField showAll="0"/>
    <pivotField dataField="1" showAll="0"/>
    <pivotField numFmtId="164" showAll="0"/>
    <pivotField dataField="1" numFmtId="164"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2"/>
  </colFields>
  <colItems count="3">
    <i>
      <x/>
    </i>
    <i i="1">
      <x v="1"/>
    </i>
    <i i="2">
      <x v="2"/>
    </i>
  </colItems>
  <dataFields count="3">
    <dataField name="Sum of Total_Revenue" fld="10" baseField="0" baseItem="0" numFmtId="164"/>
    <dataField name="Sum of Units_Sold" fld="8" baseField="0" baseItem="0"/>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series="1">
      <pivotArea type="data" outline="0" fieldPosition="0">
        <references count="1">
          <reference field="4294967294"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1"/>
          </reference>
        </references>
      </pivotArea>
    </chartFormat>
    <chartFormat chart="16" format="11"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0E8695-FAFA-41AF-A699-C5834EAB8FBB}" name="Quarter_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E9" firstHeaderRow="1" firstDataRow="2" firstDataCol="1"/>
  <pivotFields count="15">
    <pivotField showAll="0"/>
    <pivotField numFmtId="14" showAll="0">
      <items count="204">
        <item x="174"/>
        <item x="124"/>
        <item x="20"/>
        <item x="148"/>
        <item x="3"/>
        <item x="9"/>
        <item x="47"/>
        <item x="162"/>
        <item x="153"/>
        <item x="99"/>
        <item x="84"/>
        <item x="94"/>
        <item x="48"/>
        <item x="156"/>
        <item x="80"/>
        <item x="89"/>
        <item x="29"/>
        <item x="79"/>
        <item x="129"/>
        <item x="69"/>
        <item x="44"/>
        <item x="83"/>
        <item x="8"/>
        <item x="181"/>
        <item x="34"/>
        <item x="81"/>
        <item x="160"/>
        <item x="123"/>
        <item x="92"/>
        <item x="39"/>
        <item x="122"/>
        <item x="35"/>
        <item x="152"/>
        <item x="172"/>
        <item x="85"/>
        <item x="196"/>
        <item x="189"/>
        <item x="108"/>
        <item x="70"/>
        <item x="130"/>
        <item x="27"/>
        <item x="17"/>
        <item x="114"/>
        <item x="73"/>
        <item x="166"/>
        <item x="127"/>
        <item x="197"/>
        <item x="188"/>
        <item x="178"/>
        <item x="5"/>
        <item x="180"/>
        <item x="187"/>
        <item x="146"/>
        <item x="65"/>
        <item x="25"/>
        <item x="37"/>
        <item x="112"/>
        <item x="201"/>
        <item x="177"/>
        <item x="179"/>
        <item x="22"/>
        <item x="121"/>
        <item x="10"/>
        <item x="31"/>
        <item x="182"/>
        <item x="118"/>
        <item x="173"/>
        <item x="43"/>
        <item x="139"/>
        <item x="76"/>
        <item x="102"/>
        <item x="57"/>
        <item x="120"/>
        <item x="75"/>
        <item x="86"/>
        <item x="136"/>
        <item x="72"/>
        <item x="128"/>
        <item x="141"/>
        <item x="16"/>
        <item x="26"/>
        <item x="23"/>
        <item x="126"/>
        <item x="158"/>
        <item x="46"/>
        <item x="91"/>
        <item x="119"/>
        <item x="2"/>
        <item x="192"/>
        <item x="95"/>
        <item x="42"/>
        <item x="82"/>
        <item x="30"/>
        <item x="54"/>
        <item x="147"/>
        <item x="87"/>
        <item x="184"/>
        <item x="132"/>
        <item x="78"/>
        <item x="183"/>
        <item x="93"/>
        <item x="104"/>
        <item x="202"/>
        <item x="186"/>
        <item x="36"/>
        <item x="32"/>
        <item x="1"/>
        <item x="159"/>
        <item x="113"/>
        <item x="193"/>
        <item x="154"/>
        <item x="125"/>
        <item x="106"/>
        <item x="105"/>
        <item x="19"/>
        <item x="198"/>
        <item x="138"/>
        <item x="150"/>
        <item x="175"/>
        <item x="195"/>
        <item x="134"/>
        <item x="199"/>
        <item x="58"/>
        <item x="41"/>
        <item x="38"/>
        <item x="101"/>
        <item x="14"/>
        <item x="11"/>
        <item x="200"/>
        <item x="7"/>
        <item x="107"/>
        <item x="168"/>
        <item x="165"/>
        <item x="0"/>
        <item x="45"/>
        <item x="13"/>
        <item x="6"/>
        <item x="161"/>
        <item x="55"/>
        <item x="135"/>
        <item x="56"/>
        <item x="12"/>
        <item x="194"/>
        <item x="155"/>
        <item x="100"/>
        <item x="61"/>
        <item x="96"/>
        <item x="110"/>
        <item x="137"/>
        <item x="49"/>
        <item x="64"/>
        <item x="40"/>
        <item x="98"/>
        <item x="63"/>
        <item x="176"/>
        <item x="185"/>
        <item x="15"/>
        <item x="143"/>
        <item x="163"/>
        <item x="74"/>
        <item x="170"/>
        <item x="142"/>
        <item x="131"/>
        <item x="24"/>
        <item x="33"/>
        <item x="67"/>
        <item x="157"/>
        <item x="164"/>
        <item x="171"/>
        <item x="145"/>
        <item x="51"/>
        <item x="169"/>
        <item x="190"/>
        <item x="77"/>
        <item x="52"/>
        <item x="149"/>
        <item x="59"/>
        <item x="115"/>
        <item x="68"/>
        <item x="191"/>
        <item x="140"/>
        <item x="50"/>
        <item x="109"/>
        <item x="133"/>
        <item x="103"/>
        <item x="60"/>
        <item x="90"/>
        <item x="144"/>
        <item x="111"/>
        <item x="28"/>
        <item x="4"/>
        <item x="62"/>
        <item x="167"/>
        <item x="53"/>
        <item x="71"/>
        <item x="117"/>
        <item x="18"/>
        <item x="21"/>
        <item x="116"/>
        <item x="151"/>
        <item x="97"/>
        <item x="66"/>
        <item x="88"/>
        <item t="default"/>
      </items>
    </pivotField>
    <pivotField showAll="0">
      <items count="6">
        <item x="1"/>
        <item x="2"/>
        <item x="0"/>
        <item x="4"/>
        <item x="3"/>
        <item t="default"/>
      </items>
    </pivotField>
    <pivotField showAll="0"/>
    <pivotField showAll="0"/>
    <pivotField axis="axisCol" showAll="0">
      <items count="4">
        <item x="0"/>
        <item x="2"/>
        <item x="1"/>
        <item t="default"/>
      </items>
    </pivotField>
    <pivotField showAll="0"/>
    <pivotField showAll="0"/>
    <pivotField showAll="0"/>
    <pivotField numFmtId="164" showAll="0"/>
    <pivotField dataField="1" numFmtId="164" showAll="0"/>
    <pivotField showAll="0"/>
    <pivotField axis="axisRow" showAll="0">
      <items count="5">
        <item x="2"/>
        <item x="1"/>
        <item x="0"/>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Fields count="1">
    <field x="5"/>
  </colFields>
  <colItems count="4">
    <i>
      <x/>
    </i>
    <i>
      <x v="1"/>
    </i>
    <i>
      <x v="2"/>
    </i>
    <i t="grand">
      <x/>
    </i>
  </colItems>
  <dataFields count="1">
    <dataField name="Sum of Total_Revenue" fld="10" baseField="0" baseItem="0" numFmtId="164"/>
  </dataFields>
  <chartFormats count="8">
    <chartFormat chart="4" format="0"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 chart="4" format="9" series="1">
      <pivotArea type="data" outline="0" fieldPosition="0">
        <references count="2">
          <reference field="4294967294" count="1" selected="0">
            <x v="0"/>
          </reference>
          <reference field="5" count="1" selected="0">
            <x v="1"/>
          </reference>
        </references>
      </pivotArea>
    </chartFormat>
    <chartFormat chart="4" format="10" series="1">
      <pivotArea type="data" outline="0" fieldPosition="0">
        <references count="2">
          <reference field="4294967294" count="1" selected="0">
            <x v="0"/>
          </reference>
          <reference field="5" count="1" selected="0">
            <x v="2"/>
          </reference>
        </references>
      </pivotArea>
    </chartFormat>
    <chartFormat chart="17" format="16" series="1">
      <pivotArea type="data" outline="0" fieldPosition="0">
        <references count="2">
          <reference field="4294967294" count="1" selected="0">
            <x v="0"/>
          </reference>
          <reference field="5" count="1" selected="0">
            <x v="1"/>
          </reference>
        </references>
      </pivotArea>
    </chartFormat>
    <chartFormat chart="17" format="17" series="1">
      <pivotArea type="data" outline="0" fieldPosition="0">
        <references count="2">
          <reference field="4294967294" count="1" selected="0">
            <x v="0"/>
          </reference>
          <reference field="5" count="1" selected="0">
            <x v="2"/>
          </reference>
        </references>
      </pivotArea>
    </chartFormat>
    <chartFormat chart="4" format="11" series="1">
      <pivotArea type="data" outline="0" fieldPosition="0">
        <references count="2">
          <reference field="4294967294" count="1" selected="0">
            <x v="0"/>
          </reference>
          <reference field="5" count="1" selected="0">
            <x v="0"/>
          </reference>
        </references>
      </pivotArea>
    </chartFormat>
    <chartFormat chart="17" format="1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94837B-59CF-4D6A-B84D-88773AFFE43D}" sourceName="Region">
  <pivotTables>
    <pivotTable tabId="5" name="Region_Revenue"/>
    <pivotTable tabId="7" name="Category_Revenue"/>
    <pivotTable tabId="6" name="Month_Trend"/>
    <pivotTable tabId="9" name="Quarter_Summary"/>
    <pivotTable tabId="8" name="Salesperson_Performance"/>
    <pivotTable tabId="7" name="PivotTable1"/>
  </pivotTables>
  <data>
    <tabular pivotCacheId="1089296146">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E781C3-351D-4046-866F-E1E8417FE34F}" cache="Slicer_Region" caption="Region" columnCount="2" rowHeight="46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4474-617F-4AAD-8BB0-19A388436BE1}">
  <sheetPr>
    <tabColor rgb="FF008000"/>
  </sheetPr>
  <dimension ref="A1:P4"/>
  <sheetViews>
    <sheetView tabSelected="1" zoomScale="57" zoomScaleNormal="100" workbookViewId="0">
      <selection activeCell="K4" sqref="K4"/>
    </sheetView>
  </sheetViews>
  <sheetFormatPr defaultColWidth="15.77734375" defaultRowHeight="14.4" x14ac:dyDescent="0.3"/>
  <cols>
    <col min="2" max="2" width="19.5546875" bestFit="1" customWidth="1"/>
    <col min="5" max="5" width="17" bestFit="1" customWidth="1"/>
    <col min="8" max="8" width="21.109375" bestFit="1" customWidth="1"/>
    <col min="11" max="11" width="22" bestFit="1" customWidth="1"/>
  </cols>
  <sheetData>
    <row r="1" spans="1:16" ht="40.049999999999997" customHeight="1" x14ac:dyDescent="0.3">
      <c r="A1" s="30" t="s">
        <v>661</v>
      </c>
      <c r="B1" s="30"/>
      <c r="C1" s="30"/>
      <c r="D1" s="30"/>
      <c r="E1" s="30"/>
      <c r="F1" s="30"/>
      <c r="G1" s="30"/>
      <c r="H1" s="30"/>
      <c r="I1" s="30"/>
      <c r="J1" s="30"/>
      <c r="K1" s="30"/>
      <c r="L1" s="30"/>
      <c r="M1" s="30"/>
      <c r="N1" s="30"/>
      <c r="O1" s="30"/>
      <c r="P1" s="30"/>
    </row>
    <row r="2" spans="1:16" ht="53.4" customHeight="1" x14ac:dyDescent="0.3">
      <c r="A2" s="31" t="s">
        <v>660</v>
      </c>
      <c r="B2" s="31"/>
      <c r="C2" s="31"/>
      <c r="D2" s="31"/>
      <c r="E2" s="31"/>
      <c r="F2" s="31"/>
      <c r="G2" s="31"/>
      <c r="H2" s="31"/>
      <c r="I2" s="31"/>
      <c r="J2" s="31"/>
      <c r="K2" s="31"/>
      <c r="L2" s="31"/>
      <c r="M2" s="31"/>
      <c r="N2" s="31"/>
      <c r="O2" s="31"/>
      <c r="P2" s="31"/>
    </row>
    <row r="3" spans="1:16" ht="21" x14ac:dyDescent="0.4">
      <c r="A3" s="26"/>
      <c r="B3" s="27" t="str">
        <f>MIS_Report!A6</f>
        <v>Total Revenue</v>
      </c>
      <c r="C3" s="26"/>
      <c r="D3" s="26"/>
      <c r="E3" s="27" t="str">
        <f>MIS_Report!A7</f>
        <v>Total Orders</v>
      </c>
      <c r="F3" s="26"/>
      <c r="G3" s="26"/>
      <c r="H3" s="27" t="str">
        <f>MIS_Report!A8</f>
        <v>Total Units Sold</v>
      </c>
      <c r="I3" s="26"/>
      <c r="J3" s="26"/>
      <c r="K3" s="27" t="str">
        <f>MIS_Report!A9</f>
        <v>Avg Order Value</v>
      </c>
    </row>
    <row r="4" spans="1:16" ht="21" x14ac:dyDescent="0.4">
      <c r="A4" s="26"/>
      <c r="B4" s="28">
        <f>MIS_Report!B6</f>
        <v>81536199</v>
      </c>
      <c r="C4" s="26"/>
      <c r="D4" s="26"/>
      <c r="E4" s="29">
        <f>MIS_Report!B7</f>
        <v>300</v>
      </c>
      <c r="F4" s="26"/>
      <c r="G4" s="26"/>
      <c r="H4" s="29">
        <f>MIS_Report!B8</f>
        <v>3144</v>
      </c>
      <c r="I4" s="26"/>
      <c r="J4" s="26"/>
      <c r="K4" s="28">
        <f>MIS_Report!B9</f>
        <v>271787.33</v>
      </c>
    </row>
  </sheetData>
  <mergeCells count="2">
    <mergeCell ref="A1:P1"/>
    <mergeCell ref="A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4016-6A16-4968-B9E5-0887FCFAED3B}">
  <sheetPr>
    <tabColor rgb="FFFFC000"/>
  </sheetPr>
  <dimension ref="A1:I34"/>
  <sheetViews>
    <sheetView topLeftCell="A27" workbookViewId="0">
      <selection activeCell="B17" sqref="B17"/>
    </sheetView>
  </sheetViews>
  <sheetFormatPr defaultRowHeight="14.4" x14ac:dyDescent="0.3"/>
  <cols>
    <col min="1" max="1" width="13.88671875" bestFit="1" customWidth="1"/>
    <col min="2" max="2" width="15.6640625" bestFit="1" customWidth="1"/>
    <col min="3" max="3" width="9.88671875" bestFit="1" customWidth="1"/>
    <col min="4" max="4" width="11.109375" bestFit="1" customWidth="1"/>
    <col min="5" max="5" width="14.109375" bestFit="1" customWidth="1"/>
    <col min="8" max="8" width="5.6640625" bestFit="1" customWidth="1"/>
  </cols>
  <sheetData>
    <row r="1" spans="1:9" ht="21" x14ac:dyDescent="0.4">
      <c r="A1" s="32" t="s">
        <v>398</v>
      </c>
      <c r="B1" s="32"/>
      <c r="C1" s="32"/>
      <c r="D1" s="32"/>
      <c r="E1" s="32"/>
      <c r="F1" s="32"/>
      <c r="I1" s="12"/>
    </row>
    <row r="2" spans="1:9" x14ac:dyDescent="0.3">
      <c r="A2" s="33" t="s">
        <v>658</v>
      </c>
      <c r="B2" s="33"/>
      <c r="C2" s="33"/>
      <c r="D2" s="33"/>
      <c r="E2" s="33"/>
      <c r="F2" s="33"/>
    </row>
    <row r="3" spans="1:9" x14ac:dyDescent="0.3">
      <c r="A3" s="34" t="s">
        <v>659</v>
      </c>
      <c r="B3" s="35"/>
      <c r="C3" s="35"/>
      <c r="D3" s="35"/>
      <c r="E3" s="35"/>
      <c r="F3" s="35"/>
    </row>
    <row r="4" spans="1:9" ht="21" x14ac:dyDescent="0.4">
      <c r="A4" s="32" t="s">
        <v>399</v>
      </c>
      <c r="B4" s="32"/>
      <c r="C4" s="32"/>
      <c r="D4" s="32"/>
      <c r="E4" s="32"/>
      <c r="F4" s="32"/>
    </row>
    <row r="6" spans="1:9" x14ac:dyDescent="0.3">
      <c r="A6" t="s">
        <v>400</v>
      </c>
      <c r="B6" s="16">
        <f>SUM(cleaned_data!K2:K301)</f>
        <v>81536199</v>
      </c>
    </row>
    <row r="7" spans="1:9" x14ac:dyDescent="0.3">
      <c r="A7" t="s">
        <v>401</v>
      </c>
      <c r="B7">
        <f>COUNTA(cleaned_data!A2:A301)</f>
        <v>300</v>
      </c>
    </row>
    <row r="8" spans="1:9" x14ac:dyDescent="0.3">
      <c r="A8" t="s">
        <v>402</v>
      </c>
      <c r="B8">
        <f>SUM(cleaned_data!I2:I301)</f>
        <v>3144</v>
      </c>
    </row>
    <row r="9" spans="1:9" x14ac:dyDescent="0.3">
      <c r="A9" t="s">
        <v>403</v>
      </c>
      <c r="B9" s="16">
        <f>B6/B7</f>
        <v>271787.33</v>
      </c>
    </row>
    <row r="11" spans="1:9" ht="21" x14ac:dyDescent="0.4">
      <c r="A11" s="32" t="s">
        <v>406</v>
      </c>
      <c r="B11" s="32"/>
      <c r="C11" s="32"/>
      <c r="D11" s="32"/>
      <c r="E11" s="32"/>
    </row>
    <row r="12" spans="1:9" x14ac:dyDescent="0.3">
      <c r="A12" s="13" t="s">
        <v>404</v>
      </c>
      <c r="B12" s="13" t="s">
        <v>400</v>
      </c>
      <c r="C12" s="13" t="s">
        <v>405</v>
      </c>
      <c r="D12" s="13" t="s">
        <v>401</v>
      </c>
      <c r="E12" s="13" t="s">
        <v>403</v>
      </c>
    </row>
    <row r="13" spans="1:9" x14ac:dyDescent="0.3">
      <c r="A13" s="14" t="s">
        <v>387</v>
      </c>
      <c r="B13" s="15">
        <f>SUMIF(cleaned_data!$L$2:$L$301,MIS_Report!$A13,cleaned_data!$K$2:$K$301)</f>
        <v>8147926</v>
      </c>
      <c r="C13" s="14">
        <f>SUMIF(cleaned_data!$L$2:$L$301,MIS_Report!$A13,cleaned_data!$I$2:$I$301)</f>
        <v>306</v>
      </c>
      <c r="D13" s="14">
        <f>COUNTIF(cleaned_data!$L$2:$L$301,MIS_Report!A13)</f>
        <v>26</v>
      </c>
      <c r="E13" s="21">
        <f>B13/D13</f>
        <v>313381.76923076925</v>
      </c>
    </row>
    <row r="14" spans="1:9" x14ac:dyDescent="0.3">
      <c r="A14" s="14" t="s">
        <v>386</v>
      </c>
      <c r="B14" s="15">
        <f>SUMIF(cleaned_data!$L$2:$L$301,MIS_Report!$A14,cleaned_data!$K$2:$K$301)</f>
        <v>6138144</v>
      </c>
      <c r="C14" s="14">
        <f>SUMIF(cleaned_data!$L$2:$L$301,MIS_Report!$A14,cleaned_data!$I$2:$I$301)</f>
        <v>242</v>
      </c>
      <c r="D14" s="14">
        <f>COUNTIF(cleaned_data!$L$2:$L$301,MIS_Report!A14)</f>
        <v>27</v>
      </c>
      <c r="E14" s="21">
        <f t="shared" ref="E14:E24" si="0">B14/D14</f>
        <v>227338.66666666666</v>
      </c>
    </row>
    <row r="15" spans="1:9" x14ac:dyDescent="0.3">
      <c r="A15" s="14" t="s">
        <v>388</v>
      </c>
      <c r="B15" s="15">
        <f>SUMIF(cleaned_data!$L$2:$L$301,MIS_Report!$A15,cleaned_data!$K$2:$K$301)</f>
        <v>4444904</v>
      </c>
      <c r="C15" s="14">
        <f>SUMIF(cleaned_data!$L$2:$L$301,MIS_Report!$A15,cleaned_data!$I$2:$I$301)</f>
        <v>213</v>
      </c>
      <c r="D15" s="14">
        <f>COUNTIF(cleaned_data!$L$2:$L$301,MIS_Report!A15)</f>
        <v>18</v>
      </c>
      <c r="E15" s="21">
        <f t="shared" si="0"/>
        <v>246939.11111111112</v>
      </c>
    </row>
    <row r="16" spans="1:9" x14ac:dyDescent="0.3">
      <c r="A16" s="14" t="s">
        <v>389</v>
      </c>
      <c r="B16" s="15">
        <f>SUMIF(cleaned_data!$L$2:$L$301,MIS_Report!$A16,cleaned_data!$K$2:$K$301)</f>
        <v>4832210</v>
      </c>
      <c r="C16" s="14">
        <f>SUMIF(cleaned_data!$L$2:$L$301,MIS_Report!$A16,cleaned_data!$I$2:$I$301)</f>
        <v>206</v>
      </c>
      <c r="D16" s="14">
        <f>COUNTIF(cleaned_data!$L$2:$L$301,MIS_Report!A16)</f>
        <v>25</v>
      </c>
      <c r="E16" s="21">
        <f t="shared" si="0"/>
        <v>193288.4</v>
      </c>
    </row>
    <row r="17" spans="1:5" x14ac:dyDescent="0.3">
      <c r="A17" s="14" t="s">
        <v>391</v>
      </c>
      <c r="B17" s="15">
        <f>SUMIF(cleaned_data!$L$2:$L$301,MIS_Report!$A17,cleaned_data!$K$2:$K$301)</f>
        <v>5871322</v>
      </c>
      <c r="C17" s="14">
        <f>SUMIF(cleaned_data!$L$2:$L$301,MIS_Report!$A17,cleaned_data!$I$2:$I$301)</f>
        <v>245</v>
      </c>
      <c r="D17" s="14">
        <f>COUNTIF(cleaned_data!$L$2:$L$301,MIS_Report!A17)</f>
        <v>26</v>
      </c>
      <c r="E17" s="21">
        <f t="shared" si="0"/>
        <v>225820.07692307694</v>
      </c>
    </row>
    <row r="18" spans="1:5" x14ac:dyDescent="0.3">
      <c r="A18" s="14" t="s">
        <v>390</v>
      </c>
      <c r="B18" s="15">
        <f>SUMIF(cleaned_data!$L$2:$L$301,MIS_Report!$A18,cleaned_data!$K$2:$K$301)</f>
        <v>7145156</v>
      </c>
      <c r="C18" s="14">
        <f>SUMIF(cleaned_data!$L$2:$L$301,MIS_Report!$A18,cleaned_data!$I$2:$I$301)</f>
        <v>288</v>
      </c>
      <c r="D18" s="14">
        <f>COUNTIF(cleaned_data!$L$2:$L$301,MIS_Report!A18)</f>
        <v>24</v>
      </c>
      <c r="E18" s="21">
        <f t="shared" si="0"/>
        <v>297714.83333333331</v>
      </c>
    </row>
    <row r="19" spans="1:5" x14ac:dyDescent="0.3">
      <c r="A19" s="14" t="s">
        <v>393</v>
      </c>
      <c r="B19" s="15">
        <f>SUMIF(cleaned_data!$L$2:$L$301,MIS_Report!$A19,cleaned_data!$K$2:$K$301)</f>
        <v>6592159</v>
      </c>
      <c r="C19" s="14">
        <f>SUMIF(cleaned_data!$L$2:$L$301,MIS_Report!$A19,cleaned_data!$I$2:$I$301)</f>
        <v>284</v>
      </c>
      <c r="D19" s="14">
        <f>COUNTIF(cleaned_data!$L$2:$L$301,MIS_Report!A19)</f>
        <v>27</v>
      </c>
      <c r="E19" s="21">
        <f t="shared" si="0"/>
        <v>244154.03703703705</v>
      </c>
    </row>
    <row r="20" spans="1:5" x14ac:dyDescent="0.3">
      <c r="A20" s="14" t="s">
        <v>392</v>
      </c>
      <c r="B20" s="15">
        <f>SUMIF(cleaned_data!$L$2:$L$301,MIS_Report!$A20,cleaned_data!$K$2:$K$301)</f>
        <v>6105214</v>
      </c>
      <c r="C20" s="14">
        <f>SUMIF(cleaned_data!$L$2:$L$301,MIS_Report!$A20,cleaned_data!$I$2:$I$301)</f>
        <v>213</v>
      </c>
      <c r="D20" s="14">
        <f>COUNTIF(cleaned_data!$L$2:$L$301,MIS_Report!A20)</f>
        <v>19</v>
      </c>
      <c r="E20" s="21">
        <f t="shared" si="0"/>
        <v>321327.05263157893</v>
      </c>
    </row>
    <row r="21" spans="1:5" x14ac:dyDescent="0.3">
      <c r="A21" s="14" t="s">
        <v>394</v>
      </c>
      <c r="B21" s="15">
        <f>SUMIF(cleaned_data!$L$2:$L$301,MIS_Report!$A21,cleaned_data!$K$2:$K$301)</f>
        <v>11654128</v>
      </c>
      <c r="C21" s="14">
        <f>SUMIF(cleaned_data!$L$2:$L$301,MIS_Report!$A21,cleaned_data!$I$2:$I$301)</f>
        <v>426</v>
      </c>
      <c r="D21" s="14">
        <f>COUNTIF(cleaned_data!$L$2:$L$301,MIS_Report!A21)</f>
        <v>36</v>
      </c>
      <c r="E21" s="21">
        <f t="shared" si="0"/>
        <v>323725.77777777775</v>
      </c>
    </row>
    <row r="22" spans="1:5" x14ac:dyDescent="0.3">
      <c r="A22" s="14" t="s">
        <v>397</v>
      </c>
      <c r="B22" s="15">
        <f>SUMIF(cleaned_data!$L$2:$L$301,MIS_Report!$A22,cleaned_data!$K$2:$K$301)</f>
        <v>9628802</v>
      </c>
      <c r="C22" s="14">
        <f>SUMIF(cleaned_data!$L$2:$L$301,MIS_Report!$A22,cleaned_data!$I$2:$I$301)</f>
        <v>344</v>
      </c>
      <c r="D22" s="14">
        <f>COUNTIF(cleaned_data!$L$2:$L$301,MIS_Report!A22)</f>
        <v>34</v>
      </c>
      <c r="E22" s="21">
        <f t="shared" si="0"/>
        <v>283200.0588235294</v>
      </c>
    </row>
    <row r="23" spans="1:5" x14ac:dyDescent="0.3">
      <c r="A23" s="14" t="s">
        <v>396</v>
      </c>
      <c r="B23" s="15">
        <f>SUMIF(cleaned_data!$L$2:$L$301,MIS_Report!$A23,cleaned_data!$K$2:$K$301)</f>
        <v>3123725</v>
      </c>
      <c r="C23" s="14">
        <f>SUMIF(cleaned_data!$L$2:$L$301,MIS_Report!$A23,cleaned_data!$I$2:$I$301)</f>
        <v>120</v>
      </c>
      <c r="D23" s="14">
        <f>COUNTIF(cleaned_data!$L$2:$L$301,MIS_Report!A23)</f>
        <v>15</v>
      </c>
      <c r="E23" s="21">
        <f t="shared" si="0"/>
        <v>208248.33333333334</v>
      </c>
    </row>
    <row r="24" spans="1:5" x14ac:dyDescent="0.3">
      <c r="A24" s="14" t="s">
        <v>395</v>
      </c>
      <c r="B24" s="15">
        <f>SUMIF(cleaned_data!$L$2:$L$301,MIS_Report!$A24,cleaned_data!$K$2:$K$301)</f>
        <v>7852509</v>
      </c>
      <c r="C24" s="14">
        <f>SUMIF(cleaned_data!$L$2:$L$301,MIS_Report!$A24,cleaned_data!$I$2:$I$301)</f>
        <v>257</v>
      </c>
      <c r="D24" s="14">
        <f>COUNTIF(cleaned_data!$L$2:$L$301,MIS_Report!A24)</f>
        <v>23</v>
      </c>
      <c r="E24" s="21">
        <f t="shared" si="0"/>
        <v>341413.4347826087</v>
      </c>
    </row>
    <row r="25" spans="1:5" x14ac:dyDescent="0.3">
      <c r="A25" s="18" t="s">
        <v>361</v>
      </c>
      <c r="B25" s="23">
        <f>SUM(B13:B24)</f>
        <v>81536199</v>
      </c>
      <c r="C25" s="18">
        <f>SUM(C13:C24)</f>
        <v>3144</v>
      </c>
      <c r="D25" s="18">
        <f>SUM(D13:D24)</f>
        <v>300</v>
      </c>
      <c r="E25" s="18"/>
    </row>
    <row r="27" spans="1:5" ht="21" x14ac:dyDescent="0.4">
      <c r="A27" s="32" t="s">
        <v>407</v>
      </c>
      <c r="B27" s="32"/>
      <c r="C27" s="32"/>
      <c r="D27" s="32"/>
      <c r="E27" s="32"/>
    </row>
    <row r="28" spans="1:5" x14ac:dyDescent="0.3">
      <c r="A28" s="13" t="s">
        <v>2</v>
      </c>
      <c r="B28" s="13" t="s">
        <v>400</v>
      </c>
      <c r="C28" s="13" t="s">
        <v>405</v>
      </c>
      <c r="D28" s="13" t="s">
        <v>401</v>
      </c>
      <c r="E28" s="13" t="s">
        <v>403</v>
      </c>
    </row>
    <row r="29" spans="1:5" x14ac:dyDescent="0.3">
      <c r="A29" t="s">
        <v>312</v>
      </c>
      <c r="B29" s="17">
        <f>SUMIF(cleaned_data!$C$2:$C$301,MIS_Report!A29,cleaned_data!$K$2:$K$301)</f>
        <v>18429976</v>
      </c>
      <c r="C29">
        <f>SUMIF(cleaned_data!$C$2:$C$301,MIS_Report!$A29,cleaned_data!$I$2:$I$301)</f>
        <v>732</v>
      </c>
      <c r="D29">
        <f>COUNTIF(cleaned_data!$C$2:$C$301,MIS_Report!A29)</f>
        <v>73</v>
      </c>
      <c r="E29" s="22">
        <f>B29/D29</f>
        <v>252465.42465753425</v>
      </c>
    </row>
    <row r="30" spans="1:5" x14ac:dyDescent="0.3">
      <c r="A30" t="s">
        <v>310</v>
      </c>
      <c r="B30" s="17">
        <f>SUMIF(cleaned_data!$C$2:$C$301,MIS_Report!A30,cleaned_data!$K$2:$K$301)</f>
        <v>24751542</v>
      </c>
      <c r="C30">
        <f>SUMIF(cleaned_data!$C$2:$C$301,MIS_Report!$A30,cleaned_data!$I$2:$I$301)</f>
        <v>892</v>
      </c>
      <c r="D30">
        <f>COUNTIF(cleaned_data!$C$2:$C$301,MIS_Report!A30)</f>
        <v>82</v>
      </c>
      <c r="E30" s="22">
        <f t="shared" ref="E30:E33" si="1">B30/D30</f>
        <v>301848.07317073172</v>
      </c>
    </row>
    <row r="31" spans="1:5" x14ac:dyDescent="0.3">
      <c r="A31" t="s">
        <v>311</v>
      </c>
      <c r="B31" s="17">
        <f>SUMIF(cleaned_data!$C$2:$C$301,MIS_Report!A31,cleaned_data!$K$2:$K$301)</f>
        <v>18136368</v>
      </c>
      <c r="C31">
        <f>SUMIF(cleaned_data!$C$2:$C$301,MIS_Report!$A31,cleaned_data!$I$2:$I$301)</f>
        <v>688</v>
      </c>
      <c r="D31">
        <f>COUNTIF(cleaned_data!$C$2:$C$301,MIS_Report!A31)</f>
        <v>65</v>
      </c>
      <c r="E31" s="22">
        <f t="shared" si="1"/>
        <v>279021.04615384614</v>
      </c>
    </row>
    <row r="32" spans="1:5" x14ac:dyDescent="0.3">
      <c r="A32" t="s">
        <v>313</v>
      </c>
      <c r="B32" s="17">
        <f>SUMIF(cleaned_data!$C$2:$C$301,MIS_Report!A32,cleaned_data!$K$2:$K$301)</f>
        <v>18480996</v>
      </c>
      <c r="C32">
        <f>SUMIF(cleaned_data!$C$2:$C$301,MIS_Report!$A32,cleaned_data!$I$2:$I$301)</f>
        <v>740</v>
      </c>
      <c r="D32">
        <f>COUNTIF(cleaned_data!$C$2:$C$301,MIS_Report!A32)</f>
        <v>72</v>
      </c>
      <c r="E32" s="22">
        <f t="shared" si="1"/>
        <v>256680.5</v>
      </c>
    </row>
    <row r="33" spans="1:5" x14ac:dyDescent="0.3">
      <c r="A33" t="s">
        <v>363</v>
      </c>
      <c r="B33" s="17">
        <f>SUMIF(cleaned_data!$C$2:$C$301,MIS_Report!A33,cleaned_data!$K$2:$K$301)</f>
        <v>1737317</v>
      </c>
      <c r="C33">
        <f>SUMIF(cleaned_data!$C$2:$C$301,MIS_Report!$A33,cleaned_data!$I$2:$I$301)</f>
        <v>92</v>
      </c>
      <c r="D33">
        <f>COUNTIF(cleaned_data!$C$2:$C$301,MIS_Report!A33)</f>
        <v>8</v>
      </c>
      <c r="E33" s="22">
        <f t="shared" si="1"/>
        <v>217164.625</v>
      </c>
    </row>
    <row r="34" spans="1:5" x14ac:dyDescent="0.3">
      <c r="A34" s="18" t="s">
        <v>361</v>
      </c>
      <c r="B34" s="19">
        <f>SUM(B29:B33)</f>
        <v>81536199</v>
      </c>
      <c r="C34" s="18">
        <f>SUM(C29:C33)</f>
        <v>3144</v>
      </c>
      <c r="D34" s="18">
        <f>SUM(D29:D33)</f>
        <v>300</v>
      </c>
      <c r="E34" s="19">
        <f>B34/D34</f>
        <v>271787.33</v>
      </c>
    </row>
  </sheetData>
  <sortState xmlns:xlrd2="http://schemas.microsoft.com/office/spreadsheetml/2017/richdata2" ref="I1:I12">
    <sortCondition ref="I1:I12" customList="Jan,Feb,Mar,Apr,May,Jun,Jul,Aug,Sep,Oct,Nov,Dec"/>
  </sortState>
  <mergeCells count="6">
    <mergeCell ref="A1:F1"/>
    <mergeCell ref="A2:F2"/>
    <mergeCell ref="A4:F4"/>
    <mergeCell ref="A11:E11"/>
    <mergeCell ref="A27:E27"/>
    <mergeCell ref="A3:F3"/>
  </mergeCells>
  <conditionalFormatting sqref="B13:B24">
    <cfRule type="top10" dxfId="3" priority="3" bottom="1" rank="3"/>
    <cfRule type="top10" dxfId="2" priority="4" rank="3"/>
  </conditionalFormatting>
  <conditionalFormatting sqref="D13:D24">
    <cfRule type="top10" dxfId="1" priority="1" bottom="1" rank="3"/>
    <cfRule type="top10" dxfId="0" priority="2" rank="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FF42-33B9-4EA6-8171-E96E6A1186B8}">
  <dimension ref="A1:M301"/>
  <sheetViews>
    <sheetView workbookViewId="0">
      <selection activeCell="O17" sqref="O17"/>
    </sheetView>
  </sheetViews>
  <sheetFormatPr defaultRowHeight="14.4" x14ac:dyDescent="0.3"/>
  <cols>
    <col min="1" max="1" width="13" bestFit="1" customWidth="1"/>
    <col min="2" max="2" width="15.109375" bestFit="1" customWidth="1"/>
    <col min="3" max="3" width="11.21875" bestFit="1" customWidth="1"/>
    <col min="4" max="4" width="12" bestFit="1" customWidth="1"/>
    <col min="5" max="5" width="13.44140625" bestFit="1" customWidth="1"/>
    <col min="6" max="6" width="13.109375" bestFit="1" customWidth="1"/>
    <col min="7" max="7" width="17.21875" bestFit="1" customWidth="1"/>
    <col min="8" max="8" width="18.21875" bestFit="1" customWidth="1"/>
    <col min="9" max="9" width="14.44140625" bestFit="1" customWidth="1"/>
    <col min="10" max="10" width="14.109375" style="9" bestFit="1" customWidth="1"/>
    <col min="11" max="11" width="13.6640625" style="9" bestFit="1" customWidth="1"/>
    <col min="12" max="12" width="11.44140625" bestFit="1" customWidth="1"/>
  </cols>
  <sheetData>
    <row r="1" spans="1:13" x14ac:dyDescent="0.3">
      <c r="A1" s="1" t="s">
        <v>0</v>
      </c>
      <c r="B1" s="2" t="s">
        <v>1</v>
      </c>
      <c r="C1" s="1" t="s">
        <v>2</v>
      </c>
      <c r="D1" s="1" t="s">
        <v>3</v>
      </c>
      <c r="E1" s="1" t="s">
        <v>4</v>
      </c>
      <c r="F1" s="1" t="s">
        <v>5</v>
      </c>
      <c r="G1" s="1" t="s">
        <v>6</v>
      </c>
      <c r="H1" s="1" t="s">
        <v>7</v>
      </c>
      <c r="I1" s="1" t="s">
        <v>8</v>
      </c>
      <c r="J1" s="10" t="s">
        <v>9</v>
      </c>
      <c r="K1" s="8" t="s">
        <v>364</v>
      </c>
      <c r="L1" s="6" t="s">
        <v>365</v>
      </c>
      <c r="M1" s="6" t="s">
        <v>366</v>
      </c>
    </row>
    <row r="2" spans="1:13" x14ac:dyDescent="0.3">
      <c r="A2" t="s">
        <v>10</v>
      </c>
      <c r="B2" s="3">
        <v>45545</v>
      </c>
      <c r="C2" t="s">
        <v>310</v>
      </c>
      <c r="D2" t="s">
        <v>314</v>
      </c>
      <c r="E2" t="s">
        <v>326</v>
      </c>
      <c r="F2" t="s">
        <v>331</v>
      </c>
      <c r="G2" t="s">
        <v>334</v>
      </c>
      <c r="H2" t="s">
        <v>343</v>
      </c>
      <c r="I2">
        <v>16</v>
      </c>
      <c r="J2" s="9">
        <v>42902</v>
      </c>
      <c r="K2" s="9">
        <f>I2*J2</f>
        <v>686432</v>
      </c>
      <c r="L2" t="str">
        <f>TEXT(B2,"MMM-YYYY")</f>
        <v>Sep-2024</v>
      </c>
      <c r="M2" t="str">
        <f>IF(MONTH(L2)&lt;=3,"Q1",IF(MONTH(L2)&lt;=6,"Q2",IF(MONTH(L2)&lt;=9,"Q3","Q4")))</f>
        <v>Q3</v>
      </c>
    </row>
    <row r="3" spans="1:13" x14ac:dyDescent="0.3">
      <c r="A3" t="s">
        <v>11</v>
      </c>
      <c r="B3" s="3">
        <v>45491</v>
      </c>
      <c r="C3" t="s">
        <v>311</v>
      </c>
      <c r="D3" t="s">
        <v>315</v>
      </c>
      <c r="E3" t="s">
        <v>326</v>
      </c>
      <c r="F3" t="s">
        <v>331</v>
      </c>
      <c r="G3" t="s">
        <v>334</v>
      </c>
      <c r="H3" t="s">
        <v>343</v>
      </c>
      <c r="I3">
        <v>20</v>
      </c>
      <c r="J3" s="9">
        <v>338</v>
      </c>
      <c r="K3" s="9">
        <f t="shared" ref="K3:K66" si="0">I3*J3</f>
        <v>6760</v>
      </c>
      <c r="L3" t="str">
        <f t="shared" ref="L3:L66" si="1">TEXT(B3,"MMM-YYYY")</f>
        <v>Jul-2024</v>
      </c>
      <c r="M3" t="str">
        <f t="shared" ref="M3:M66" si="2">IF(MONTH(L3)&lt;=3,"Q1",IF(MONTH(L3)&lt;=6,"Q2",IF(MONTH(L3)&lt;=9,"Q3","Q4")))</f>
        <v>Q3</v>
      </c>
    </row>
    <row r="4" spans="1:13" x14ac:dyDescent="0.3">
      <c r="A4" t="s">
        <v>12</v>
      </c>
      <c r="B4" s="3">
        <v>45454</v>
      </c>
      <c r="C4" t="s">
        <v>311</v>
      </c>
      <c r="D4" t="s">
        <v>316</v>
      </c>
      <c r="E4" t="s">
        <v>327</v>
      </c>
      <c r="F4" t="s">
        <v>332</v>
      </c>
      <c r="G4" t="s">
        <v>335</v>
      </c>
      <c r="H4" t="s">
        <v>344</v>
      </c>
      <c r="I4">
        <v>1</v>
      </c>
      <c r="J4" s="9">
        <v>1867</v>
      </c>
      <c r="K4" s="9">
        <f t="shared" si="0"/>
        <v>1867</v>
      </c>
      <c r="L4" t="str">
        <f t="shared" si="1"/>
        <v>Jun-2024</v>
      </c>
      <c r="M4" t="str">
        <f t="shared" si="2"/>
        <v>Q2</v>
      </c>
    </row>
    <row r="5" spans="1:13" x14ac:dyDescent="0.3">
      <c r="A5" t="s">
        <v>13</v>
      </c>
      <c r="B5" s="3">
        <v>45306</v>
      </c>
      <c r="C5" t="s">
        <v>312</v>
      </c>
      <c r="D5" t="s">
        <v>317</v>
      </c>
      <c r="E5" t="s">
        <v>328</v>
      </c>
      <c r="F5" t="s">
        <v>332</v>
      </c>
      <c r="G5" t="s">
        <v>335</v>
      </c>
      <c r="H5" t="s">
        <v>345</v>
      </c>
      <c r="I5">
        <v>8</v>
      </c>
      <c r="J5" s="9">
        <v>28897</v>
      </c>
      <c r="K5" s="9">
        <f t="shared" si="0"/>
        <v>231176</v>
      </c>
      <c r="L5" t="str">
        <f t="shared" si="1"/>
        <v>Jan-2024</v>
      </c>
      <c r="M5" t="str">
        <f t="shared" si="2"/>
        <v>Q1</v>
      </c>
    </row>
    <row r="6" spans="1:13" x14ac:dyDescent="0.3">
      <c r="A6" t="s">
        <v>14</v>
      </c>
      <c r="B6" s="3">
        <v>45638</v>
      </c>
      <c r="C6" t="s">
        <v>311</v>
      </c>
      <c r="D6" t="s">
        <v>318</v>
      </c>
      <c r="E6" t="s">
        <v>363</v>
      </c>
      <c r="F6" t="s">
        <v>331</v>
      </c>
      <c r="G6" t="s">
        <v>334</v>
      </c>
      <c r="H6" t="s">
        <v>343</v>
      </c>
      <c r="I6">
        <v>15</v>
      </c>
      <c r="J6" s="9">
        <v>19191</v>
      </c>
      <c r="K6" s="9">
        <f t="shared" si="0"/>
        <v>287865</v>
      </c>
      <c r="L6" t="str">
        <f t="shared" si="1"/>
        <v>Dec-2024</v>
      </c>
      <c r="M6" t="str">
        <f t="shared" si="2"/>
        <v>Q4</v>
      </c>
    </row>
    <row r="7" spans="1:13" x14ac:dyDescent="0.3">
      <c r="A7" t="s">
        <v>15</v>
      </c>
      <c r="B7" s="3">
        <v>45387</v>
      </c>
      <c r="C7" t="s">
        <v>312</v>
      </c>
      <c r="D7" t="s">
        <v>317</v>
      </c>
      <c r="E7" t="s">
        <v>329</v>
      </c>
      <c r="F7" t="s">
        <v>332</v>
      </c>
      <c r="G7" t="s">
        <v>336</v>
      </c>
      <c r="H7" t="s">
        <v>346</v>
      </c>
      <c r="I7">
        <v>4</v>
      </c>
      <c r="J7" s="9">
        <v>48902</v>
      </c>
      <c r="K7" s="9">
        <f t="shared" si="0"/>
        <v>195608</v>
      </c>
      <c r="L7" t="str">
        <f t="shared" si="1"/>
        <v>Apr-2024</v>
      </c>
      <c r="M7" t="str">
        <f t="shared" si="2"/>
        <v>Q2</v>
      </c>
    </row>
    <row r="8" spans="1:13" x14ac:dyDescent="0.3">
      <c r="A8" t="s">
        <v>16</v>
      </c>
      <c r="B8" s="3">
        <v>45551</v>
      </c>
      <c r="C8" t="s">
        <v>313</v>
      </c>
      <c r="D8" t="s">
        <v>319</v>
      </c>
      <c r="E8" t="s">
        <v>330</v>
      </c>
      <c r="F8" t="s">
        <v>332</v>
      </c>
      <c r="G8" t="s">
        <v>336</v>
      </c>
      <c r="H8" t="s">
        <v>346</v>
      </c>
      <c r="I8">
        <v>10</v>
      </c>
      <c r="J8" s="9">
        <v>18822</v>
      </c>
      <c r="K8" s="9">
        <f t="shared" si="0"/>
        <v>188220</v>
      </c>
      <c r="L8" t="str">
        <f t="shared" si="1"/>
        <v>Sep-2024</v>
      </c>
      <c r="M8" t="str">
        <f t="shared" si="2"/>
        <v>Q3</v>
      </c>
    </row>
    <row r="9" spans="1:13" x14ac:dyDescent="0.3">
      <c r="A9" t="s">
        <v>17</v>
      </c>
      <c r="B9" s="3">
        <v>45537</v>
      </c>
      <c r="C9" t="s">
        <v>311</v>
      </c>
      <c r="D9" t="s">
        <v>318</v>
      </c>
      <c r="E9" t="s">
        <v>330</v>
      </c>
      <c r="F9" t="s">
        <v>333</v>
      </c>
      <c r="G9" t="s">
        <v>337</v>
      </c>
      <c r="H9" t="s">
        <v>347</v>
      </c>
      <c r="I9">
        <v>13</v>
      </c>
      <c r="J9" s="9">
        <v>27352</v>
      </c>
      <c r="K9" s="9">
        <f t="shared" si="0"/>
        <v>355576</v>
      </c>
      <c r="L9" t="str">
        <f t="shared" si="1"/>
        <v>Sep-2024</v>
      </c>
      <c r="M9" t="str">
        <f t="shared" si="2"/>
        <v>Q3</v>
      </c>
    </row>
    <row r="10" spans="1:13" x14ac:dyDescent="0.3">
      <c r="A10" t="s">
        <v>18</v>
      </c>
      <c r="B10" s="3">
        <v>45336</v>
      </c>
      <c r="C10" t="s">
        <v>310</v>
      </c>
      <c r="D10" t="s">
        <v>320</v>
      </c>
      <c r="E10" t="s">
        <v>326</v>
      </c>
      <c r="F10" t="s">
        <v>332</v>
      </c>
      <c r="G10" t="s">
        <v>336</v>
      </c>
      <c r="H10" t="s">
        <v>346</v>
      </c>
      <c r="I10">
        <v>17</v>
      </c>
      <c r="J10" s="9">
        <v>7273</v>
      </c>
      <c r="K10" s="9">
        <f t="shared" si="0"/>
        <v>123641</v>
      </c>
      <c r="L10" t="str">
        <f t="shared" si="1"/>
        <v>Feb-2024</v>
      </c>
      <c r="M10" t="str">
        <f t="shared" si="2"/>
        <v>Q1</v>
      </c>
    </row>
    <row r="11" spans="1:13" x14ac:dyDescent="0.3">
      <c r="A11" t="s">
        <v>19</v>
      </c>
      <c r="B11" s="3">
        <v>45307</v>
      </c>
      <c r="C11" t="s">
        <v>310</v>
      </c>
      <c r="D11" t="s">
        <v>314</v>
      </c>
      <c r="E11" t="s">
        <v>326</v>
      </c>
      <c r="F11" t="s">
        <v>333</v>
      </c>
      <c r="G11" t="s">
        <v>338</v>
      </c>
      <c r="H11" t="s">
        <v>348</v>
      </c>
      <c r="I11">
        <v>2</v>
      </c>
      <c r="J11" s="9">
        <v>20419</v>
      </c>
      <c r="K11" s="9">
        <f t="shared" si="0"/>
        <v>40838</v>
      </c>
      <c r="L11" t="str">
        <f t="shared" si="1"/>
        <v>Jan-2024</v>
      </c>
      <c r="M11" t="str">
        <f t="shared" si="2"/>
        <v>Q1</v>
      </c>
    </row>
    <row r="12" spans="1:13" x14ac:dyDescent="0.3">
      <c r="A12" t="s">
        <v>20</v>
      </c>
      <c r="B12" s="3">
        <v>45408</v>
      </c>
      <c r="C12" t="s">
        <v>311</v>
      </c>
      <c r="D12" t="s">
        <v>318</v>
      </c>
      <c r="E12" t="s">
        <v>327</v>
      </c>
      <c r="F12" t="s">
        <v>331</v>
      </c>
      <c r="G12" t="s">
        <v>339</v>
      </c>
      <c r="H12" t="s">
        <v>349</v>
      </c>
      <c r="I12">
        <v>7</v>
      </c>
      <c r="J12" s="9">
        <v>35564</v>
      </c>
      <c r="K12" s="9">
        <f t="shared" si="0"/>
        <v>248948</v>
      </c>
      <c r="L12" t="str">
        <f t="shared" si="1"/>
        <v>Apr-2024</v>
      </c>
      <c r="M12" t="str">
        <f t="shared" si="2"/>
        <v>Q2</v>
      </c>
    </row>
    <row r="13" spans="1:13" x14ac:dyDescent="0.3">
      <c r="A13" t="s">
        <v>21</v>
      </c>
      <c r="B13" s="3">
        <v>45527</v>
      </c>
      <c r="C13" t="s">
        <v>310</v>
      </c>
      <c r="D13" t="s">
        <v>320</v>
      </c>
      <c r="E13" t="s">
        <v>329</v>
      </c>
      <c r="F13" t="s">
        <v>332</v>
      </c>
      <c r="G13" t="s">
        <v>340</v>
      </c>
      <c r="H13" t="s">
        <v>350</v>
      </c>
      <c r="I13">
        <v>18</v>
      </c>
      <c r="J13" s="9">
        <v>40107</v>
      </c>
      <c r="K13" s="9">
        <f t="shared" si="0"/>
        <v>721926</v>
      </c>
      <c r="L13" t="str">
        <f t="shared" si="1"/>
        <v>Aug-2024</v>
      </c>
      <c r="M13" t="str">
        <f t="shared" si="2"/>
        <v>Q3</v>
      </c>
    </row>
    <row r="14" spans="1:13" x14ac:dyDescent="0.3">
      <c r="A14" t="s">
        <v>22</v>
      </c>
      <c r="B14" s="3">
        <v>45557</v>
      </c>
      <c r="C14" t="s">
        <v>312</v>
      </c>
      <c r="D14" t="s">
        <v>317</v>
      </c>
      <c r="E14" t="s">
        <v>328</v>
      </c>
      <c r="F14" t="s">
        <v>332</v>
      </c>
      <c r="G14" t="s">
        <v>336</v>
      </c>
      <c r="H14" t="s">
        <v>346</v>
      </c>
      <c r="I14">
        <v>7</v>
      </c>
      <c r="J14" s="9">
        <v>28124</v>
      </c>
      <c r="K14" s="9">
        <f t="shared" si="0"/>
        <v>196868</v>
      </c>
      <c r="L14" t="str">
        <f t="shared" si="1"/>
        <v>Sep-2024</v>
      </c>
      <c r="M14" t="str">
        <f t="shared" si="2"/>
        <v>Q3</v>
      </c>
    </row>
    <row r="15" spans="1:13" x14ac:dyDescent="0.3">
      <c r="A15" t="s">
        <v>23</v>
      </c>
      <c r="B15" s="3">
        <v>45550</v>
      </c>
      <c r="C15" t="s">
        <v>312</v>
      </c>
      <c r="D15" t="s">
        <v>317</v>
      </c>
      <c r="E15" t="s">
        <v>326</v>
      </c>
      <c r="F15" t="s">
        <v>333</v>
      </c>
      <c r="G15" t="s">
        <v>337</v>
      </c>
      <c r="H15" t="s">
        <v>347</v>
      </c>
      <c r="I15">
        <v>16</v>
      </c>
      <c r="J15" s="9">
        <v>23582</v>
      </c>
      <c r="K15" s="9">
        <f t="shared" si="0"/>
        <v>377312</v>
      </c>
      <c r="L15" t="str">
        <f t="shared" si="1"/>
        <v>Sep-2024</v>
      </c>
      <c r="M15" t="str">
        <f t="shared" si="2"/>
        <v>Q3</v>
      </c>
    </row>
    <row r="16" spans="1:13" x14ac:dyDescent="0.3">
      <c r="A16" t="s">
        <v>24</v>
      </c>
      <c r="B16" s="3">
        <v>45526</v>
      </c>
      <c r="C16" t="s">
        <v>311</v>
      </c>
      <c r="D16" t="s">
        <v>316</v>
      </c>
      <c r="E16" t="s">
        <v>328</v>
      </c>
      <c r="F16" t="s">
        <v>331</v>
      </c>
      <c r="G16" t="s">
        <v>341</v>
      </c>
      <c r="H16" t="s">
        <v>351</v>
      </c>
      <c r="I16">
        <v>1</v>
      </c>
      <c r="J16" s="9">
        <v>15247</v>
      </c>
      <c r="K16" s="9">
        <f t="shared" si="0"/>
        <v>15247</v>
      </c>
      <c r="L16" t="str">
        <f t="shared" si="1"/>
        <v>Aug-2024</v>
      </c>
      <c r="M16" t="str">
        <f t="shared" si="2"/>
        <v>Q3</v>
      </c>
    </row>
    <row r="17" spans="1:13" x14ac:dyDescent="0.3">
      <c r="A17" t="s">
        <v>25</v>
      </c>
      <c r="B17" s="3">
        <v>45574</v>
      </c>
      <c r="C17" t="s">
        <v>310</v>
      </c>
      <c r="D17" t="s">
        <v>363</v>
      </c>
      <c r="E17" t="s">
        <v>329</v>
      </c>
      <c r="F17" t="s">
        <v>332</v>
      </c>
      <c r="G17" t="s">
        <v>335</v>
      </c>
      <c r="H17" t="s">
        <v>344</v>
      </c>
      <c r="I17">
        <v>2</v>
      </c>
      <c r="J17" s="9">
        <v>44313</v>
      </c>
      <c r="K17" s="9">
        <f t="shared" si="0"/>
        <v>88626</v>
      </c>
      <c r="L17" t="str">
        <f t="shared" si="1"/>
        <v>Oct-2024</v>
      </c>
      <c r="M17" t="str">
        <f t="shared" si="2"/>
        <v>Q4</v>
      </c>
    </row>
    <row r="18" spans="1:13" x14ac:dyDescent="0.3">
      <c r="A18" t="s">
        <v>26</v>
      </c>
      <c r="B18" s="3">
        <v>45435</v>
      </c>
      <c r="C18" t="s">
        <v>312</v>
      </c>
      <c r="D18" t="s">
        <v>321</v>
      </c>
      <c r="E18" t="s">
        <v>330</v>
      </c>
      <c r="F18" t="s">
        <v>331</v>
      </c>
      <c r="G18" t="s">
        <v>334</v>
      </c>
      <c r="H18" t="s">
        <v>343</v>
      </c>
      <c r="I18">
        <v>9</v>
      </c>
      <c r="J18" s="9">
        <v>7375</v>
      </c>
      <c r="K18" s="9">
        <f t="shared" si="0"/>
        <v>66375</v>
      </c>
      <c r="L18" t="str">
        <f t="shared" si="1"/>
        <v>May-2024</v>
      </c>
      <c r="M18" t="str">
        <f t="shared" si="2"/>
        <v>Q2</v>
      </c>
    </row>
    <row r="19" spans="1:13" x14ac:dyDescent="0.3">
      <c r="A19" t="s">
        <v>27</v>
      </c>
      <c r="B19" s="3">
        <v>45373</v>
      </c>
      <c r="C19" t="s">
        <v>310</v>
      </c>
      <c r="D19" t="s">
        <v>320</v>
      </c>
      <c r="E19" t="s">
        <v>329</v>
      </c>
      <c r="F19" t="s">
        <v>333</v>
      </c>
      <c r="G19" t="s">
        <v>342</v>
      </c>
      <c r="H19" t="s">
        <v>352</v>
      </c>
      <c r="I19">
        <v>17</v>
      </c>
      <c r="J19" s="9">
        <v>11219</v>
      </c>
      <c r="K19" s="9">
        <f t="shared" si="0"/>
        <v>190723</v>
      </c>
      <c r="L19" t="str">
        <f t="shared" si="1"/>
        <v>Mar-2024</v>
      </c>
      <c r="M19" t="str">
        <f t="shared" si="2"/>
        <v>Q1</v>
      </c>
    </row>
    <row r="20" spans="1:13" x14ac:dyDescent="0.3">
      <c r="A20" t="s">
        <v>28</v>
      </c>
      <c r="B20" s="3">
        <v>45651</v>
      </c>
      <c r="C20" t="s">
        <v>313</v>
      </c>
      <c r="D20" t="s">
        <v>319</v>
      </c>
      <c r="E20" t="s">
        <v>329</v>
      </c>
      <c r="F20" t="s">
        <v>332</v>
      </c>
      <c r="G20" t="s">
        <v>340</v>
      </c>
      <c r="H20" t="s">
        <v>350</v>
      </c>
      <c r="I20">
        <v>16</v>
      </c>
      <c r="J20" s="9">
        <v>31249</v>
      </c>
      <c r="K20" s="9">
        <f t="shared" si="0"/>
        <v>499984</v>
      </c>
      <c r="L20" t="str">
        <f t="shared" si="1"/>
        <v>Dec-2024</v>
      </c>
      <c r="M20" t="str">
        <f t="shared" si="2"/>
        <v>Q4</v>
      </c>
    </row>
    <row r="21" spans="1:13" x14ac:dyDescent="0.3">
      <c r="A21" t="s">
        <v>29</v>
      </c>
      <c r="B21" s="3">
        <v>45507</v>
      </c>
      <c r="C21" t="s">
        <v>312</v>
      </c>
      <c r="D21" t="s">
        <v>321</v>
      </c>
      <c r="E21" t="s">
        <v>330</v>
      </c>
      <c r="F21" t="s">
        <v>333</v>
      </c>
      <c r="G21" t="s">
        <v>338</v>
      </c>
      <c r="H21" t="s">
        <v>348</v>
      </c>
      <c r="I21">
        <v>9</v>
      </c>
      <c r="J21" s="9">
        <v>7327</v>
      </c>
      <c r="K21" s="9">
        <f t="shared" si="0"/>
        <v>65943</v>
      </c>
      <c r="L21" t="str">
        <f t="shared" si="1"/>
        <v>Aug-2024</v>
      </c>
      <c r="M21" t="str">
        <f t="shared" si="2"/>
        <v>Q3</v>
      </c>
    </row>
    <row r="22" spans="1:13" x14ac:dyDescent="0.3">
      <c r="A22" t="s">
        <v>30</v>
      </c>
      <c r="B22" s="3">
        <v>45302</v>
      </c>
      <c r="C22" t="s">
        <v>313</v>
      </c>
      <c r="D22" t="s">
        <v>319</v>
      </c>
      <c r="E22" t="s">
        <v>330</v>
      </c>
      <c r="F22" t="s">
        <v>332</v>
      </c>
      <c r="G22" t="s">
        <v>335</v>
      </c>
      <c r="H22" t="s">
        <v>345</v>
      </c>
      <c r="I22">
        <v>1</v>
      </c>
      <c r="J22" s="9">
        <v>26238</v>
      </c>
      <c r="K22" s="9">
        <f t="shared" si="0"/>
        <v>26238</v>
      </c>
      <c r="L22" t="str">
        <f t="shared" si="1"/>
        <v>Jan-2024</v>
      </c>
      <c r="M22" t="str">
        <f t="shared" si="2"/>
        <v>Q1</v>
      </c>
    </row>
    <row r="23" spans="1:13" x14ac:dyDescent="0.3">
      <c r="A23" t="s">
        <v>31</v>
      </c>
      <c r="B23" s="3">
        <v>45652</v>
      </c>
      <c r="C23" t="s">
        <v>310</v>
      </c>
      <c r="D23" t="s">
        <v>322</v>
      </c>
      <c r="E23" t="s">
        <v>328</v>
      </c>
      <c r="F23" t="s">
        <v>332</v>
      </c>
      <c r="G23" t="s">
        <v>335</v>
      </c>
      <c r="H23" t="s">
        <v>345</v>
      </c>
      <c r="I23">
        <v>14</v>
      </c>
      <c r="J23" s="9">
        <v>35897</v>
      </c>
      <c r="K23" s="9">
        <f t="shared" si="0"/>
        <v>502558</v>
      </c>
      <c r="L23" t="str">
        <f t="shared" si="1"/>
        <v>Dec-2024</v>
      </c>
      <c r="M23" t="str">
        <f t="shared" si="2"/>
        <v>Q4</v>
      </c>
    </row>
    <row r="24" spans="1:13" x14ac:dyDescent="0.3">
      <c r="A24" t="s">
        <v>32</v>
      </c>
      <c r="B24" s="3">
        <v>45406</v>
      </c>
      <c r="C24" t="s">
        <v>310</v>
      </c>
      <c r="D24" t="s">
        <v>314</v>
      </c>
      <c r="E24" t="s">
        <v>328</v>
      </c>
      <c r="F24" t="s">
        <v>332</v>
      </c>
      <c r="G24" t="s">
        <v>336</v>
      </c>
      <c r="H24" t="s">
        <v>346</v>
      </c>
      <c r="I24">
        <v>1</v>
      </c>
      <c r="J24" s="9">
        <v>26080</v>
      </c>
      <c r="K24" s="9">
        <f t="shared" si="0"/>
        <v>26080</v>
      </c>
      <c r="L24" t="str">
        <f t="shared" si="1"/>
        <v>Apr-2024</v>
      </c>
      <c r="M24" t="str">
        <f t="shared" si="2"/>
        <v>Q2</v>
      </c>
    </row>
    <row r="25" spans="1:13" x14ac:dyDescent="0.3">
      <c r="A25" t="s">
        <v>33</v>
      </c>
      <c r="B25" s="3">
        <v>45444</v>
      </c>
      <c r="C25" t="s">
        <v>313</v>
      </c>
      <c r="D25" t="s">
        <v>319</v>
      </c>
      <c r="E25" t="s">
        <v>330</v>
      </c>
      <c r="F25" t="s">
        <v>332</v>
      </c>
      <c r="G25" t="s">
        <v>340</v>
      </c>
      <c r="H25" t="s">
        <v>350</v>
      </c>
      <c r="I25">
        <v>7</v>
      </c>
      <c r="J25" s="9">
        <v>3309</v>
      </c>
      <c r="K25" s="9">
        <f t="shared" si="0"/>
        <v>23163</v>
      </c>
      <c r="L25" t="str">
        <f t="shared" si="1"/>
        <v>Jun-2024</v>
      </c>
      <c r="M25" t="str">
        <f t="shared" si="2"/>
        <v>Q2</v>
      </c>
    </row>
    <row r="26" spans="1:13" x14ac:dyDescent="0.3">
      <c r="A26" t="s">
        <v>34</v>
      </c>
      <c r="B26" s="3">
        <v>45373</v>
      </c>
      <c r="C26" t="s">
        <v>313</v>
      </c>
      <c r="D26" t="s">
        <v>323</v>
      </c>
      <c r="E26" t="s">
        <v>326</v>
      </c>
      <c r="F26" t="s">
        <v>331</v>
      </c>
      <c r="G26" t="s">
        <v>334</v>
      </c>
      <c r="H26" t="s">
        <v>353</v>
      </c>
      <c r="I26">
        <v>19</v>
      </c>
      <c r="J26" s="9">
        <v>16738</v>
      </c>
      <c r="K26" s="9">
        <f t="shared" si="0"/>
        <v>318022</v>
      </c>
      <c r="L26" t="str">
        <f t="shared" si="1"/>
        <v>Mar-2024</v>
      </c>
      <c r="M26" t="str">
        <f t="shared" si="2"/>
        <v>Q1</v>
      </c>
    </row>
    <row r="27" spans="1:13" x14ac:dyDescent="0.3">
      <c r="A27" t="s">
        <v>35</v>
      </c>
      <c r="B27" s="3">
        <v>45583</v>
      </c>
      <c r="C27" t="s">
        <v>310</v>
      </c>
      <c r="D27" t="s">
        <v>322</v>
      </c>
      <c r="E27" t="s">
        <v>326</v>
      </c>
      <c r="F27" t="s">
        <v>332</v>
      </c>
      <c r="G27" t="s">
        <v>335</v>
      </c>
      <c r="H27" t="s">
        <v>344</v>
      </c>
      <c r="I27">
        <v>6</v>
      </c>
      <c r="J27" s="9">
        <v>46338</v>
      </c>
      <c r="K27" s="9">
        <f t="shared" si="0"/>
        <v>278028</v>
      </c>
      <c r="L27" t="str">
        <f t="shared" si="1"/>
        <v>Oct-2024</v>
      </c>
      <c r="M27" t="str">
        <f t="shared" si="2"/>
        <v>Q4</v>
      </c>
    </row>
    <row r="28" spans="1:13" x14ac:dyDescent="0.3">
      <c r="A28" t="s">
        <v>36</v>
      </c>
      <c r="B28" s="3">
        <v>45397</v>
      </c>
      <c r="C28" t="s">
        <v>363</v>
      </c>
      <c r="D28" t="s">
        <v>317</v>
      </c>
      <c r="E28" t="s">
        <v>328</v>
      </c>
      <c r="F28" t="s">
        <v>331</v>
      </c>
      <c r="G28" t="s">
        <v>334</v>
      </c>
      <c r="H28" t="s">
        <v>343</v>
      </c>
      <c r="I28">
        <v>14</v>
      </c>
      <c r="J28" s="9">
        <v>38958</v>
      </c>
      <c r="K28" s="9">
        <f t="shared" si="0"/>
        <v>545412</v>
      </c>
      <c r="L28" t="str">
        <f t="shared" si="1"/>
        <v>Apr-2024</v>
      </c>
      <c r="M28" t="str">
        <f t="shared" si="2"/>
        <v>Q2</v>
      </c>
    </row>
    <row r="29" spans="1:13" x14ac:dyDescent="0.3">
      <c r="A29" t="s">
        <v>37</v>
      </c>
      <c r="B29" s="3">
        <v>45443</v>
      </c>
      <c r="C29" t="s">
        <v>310</v>
      </c>
      <c r="D29" t="s">
        <v>320</v>
      </c>
      <c r="E29" t="s">
        <v>328</v>
      </c>
      <c r="F29" t="s">
        <v>331</v>
      </c>
      <c r="G29" t="s">
        <v>341</v>
      </c>
      <c r="H29" t="s">
        <v>351</v>
      </c>
      <c r="I29">
        <v>16</v>
      </c>
      <c r="J29" s="9">
        <v>1327</v>
      </c>
      <c r="K29" s="9">
        <f t="shared" si="0"/>
        <v>21232</v>
      </c>
      <c r="L29" t="str">
        <f t="shared" si="1"/>
        <v>May-2024</v>
      </c>
      <c r="M29" t="str">
        <f t="shared" si="2"/>
        <v>Q2</v>
      </c>
    </row>
    <row r="30" spans="1:13" x14ac:dyDescent="0.3">
      <c r="A30" t="s">
        <v>38</v>
      </c>
      <c r="B30" s="3">
        <v>45372</v>
      </c>
      <c r="C30" t="s">
        <v>313</v>
      </c>
      <c r="D30" t="s">
        <v>319</v>
      </c>
      <c r="E30" t="s">
        <v>330</v>
      </c>
      <c r="F30" t="s">
        <v>333</v>
      </c>
      <c r="G30" t="s">
        <v>338</v>
      </c>
      <c r="H30" t="s">
        <v>354</v>
      </c>
      <c r="I30">
        <v>11</v>
      </c>
      <c r="J30" s="9">
        <v>37119</v>
      </c>
      <c r="K30" s="9">
        <f t="shared" si="0"/>
        <v>408309</v>
      </c>
      <c r="L30" t="str">
        <f t="shared" si="1"/>
        <v>Mar-2024</v>
      </c>
      <c r="M30" t="str">
        <f t="shared" si="2"/>
        <v>Q1</v>
      </c>
    </row>
    <row r="31" spans="1:13" x14ac:dyDescent="0.3">
      <c r="A31" t="s">
        <v>39</v>
      </c>
      <c r="B31" s="3">
        <v>45637</v>
      </c>
      <c r="C31" t="s">
        <v>310</v>
      </c>
      <c r="D31" t="s">
        <v>320</v>
      </c>
      <c r="E31" t="s">
        <v>327</v>
      </c>
      <c r="F31" t="s">
        <v>333</v>
      </c>
      <c r="G31" t="s">
        <v>342</v>
      </c>
      <c r="H31" t="s">
        <v>355</v>
      </c>
      <c r="I31">
        <v>13</v>
      </c>
      <c r="J31" s="9">
        <v>36089</v>
      </c>
      <c r="K31" s="9">
        <f t="shared" si="0"/>
        <v>469157</v>
      </c>
      <c r="L31" t="str">
        <f t="shared" si="1"/>
        <v>Dec-2024</v>
      </c>
      <c r="M31" t="str">
        <f t="shared" si="2"/>
        <v>Q4</v>
      </c>
    </row>
    <row r="32" spans="1:13" x14ac:dyDescent="0.3">
      <c r="A32" t="s">
        <v>40</v>
      </c>
      <c r="B32" s="3">
        <v>45325</v>
      </c>
      <c r="C32" t="s">
        <v>313</v>
      </c>
      <c r="D32" t="s">
        <v>319</v>
      </c>
      <c r="E32" t="s">
        <v>327</v>
      </c>
      <c r="F32" t="s">
        <v>332</v>
      </c>
      <c r="G32" t="s">
        <v>340</v>
      </c>
      <c r="H32" t="s">
        <v>350</v>
      </c>
      <c r="I32">
        <v>3</v>
      </c>
      <c r="J32" s="9">
        <v>8917</v>
      </c>
      <c r="K32" s="9">
        <f t="shared" si="0"/>
        <v>26751</v>
      </c>
      <c r="L32" t="str">
        <f t="shared" si="1"/>
        <v>Feb-2024</v>
      </c>
      <c r="M32" t="str">
        <f t="shared" si="2"/>
        <v>Q1</v>
      </c>
    </row>
    <row r="33" spans="1:13" x14ac:dyDescent="0.3">
      <c r="A33" t="s">
        <v>41</v>
      </c>
      <c r="B33" s="3">
        <v>45462</v>
      </c>
      <c r="C33" t="s">
        <v>310</v>
      </c>
      <c r="D33" t="s">
        <v>363</v>
      </c>
      <c r="E33" t="s">
        <v>328</v>
      </c>
      <c r="F33" t="s">
        <v>332</v>
      </c>
      <c r="G33" t="s">
        <v>335</v>
      </c>
      <c r="H33" t="s">
        <v>345</v>
      </c>
      <c r="I33">
        <v>17</v>
      </c>
      <c r="J33" s="9">
        <v>16930</v>
      </c>
      <c r="K33" s="9">
        <f t="shared" si="0"/>
        <v>287810</v>
      </c>
      <c r="L33" t="str">
        <f t="shared" si="1"/>
        <v>Jun-2024</v>
      </c>
      <c r="M33" t="str">
        <f t="shared" si="2"/>
        <v>Q2</v>
      </c>
    </row>
    <row r="34" spans="1:13" x14ac:dyDescent="0.3">
      <c r="A34" t="s">
        <v>42</v>
      </c>
      <c r="B34" s="3">
        <v>45412</v>
      </c>
      <c r="C34" t="s">
        <v>313</v>
      </c>
      <c r="D34" t="s">
        <v>324</v>
      </c>
      <c r="E34" t="s">
        <v>328</v>
      </c>
      <c r="F34" t="s">
        <v>333</v>
      </c>
      <c r="G34" t="s">
        <v>342</v>
      </c>
      <c r="H34" t="s">
        <v>355</v>
      </c>
      <c r="I34">
        <v>16</v>
      </c>
      <c r="J34" s="9">
        <v>9070</v>
      </c>
      <c r="K34" s="9">
        <f t="shared" si="0"/>
        <v>145120</v>
      </c>
      <c r="L34" t="str">
        <f t="shared" si="1"/>
        <v>Apr-2024</v>
      </c>
      <c r="M34" t="str">
        <f t="shared" si="2"/>
        <v>Q2</v>
      </c>
    </row>
    <row r="35" spans="1:13" x14ac:dyDescent="0.3">
      <c r="A35" t="s">
        <v>43</v>
      </c>
      <c r="B35" s="3">
        <v>45486</v>
      </c>
      <c r="C35" t="s">
        <v>312</v>
      </c>
      <c r="D35" t="s">
        <v>317</v>
      </c>
      <c r="E35" t="s">
        <v>330</v>
      </c>
      <c r="F35" t="s">
        <v>331</v>
      </c>
      <c r="G35" t="s">
        <v>334</v>
      </c>
      <c r="H35" t="s">
        <v>343</v>
      </c>
      <c r="I35">
        <v>5</v>
      </c>
      <c r="J35" s="9">
        <v>22541</v>
      </c>
      <c r="K35" s="9">
        <f t="shared" si="0"/>
        <v>112705</v>
      </c>
      <c r="L35" t="str">
        <f t="shared" si="1"/>
        <v>Jul-2024</v>
      </c>
      <c r="M35" t="str">
        <f t="shared" si="2"/>
        <v>Q3</v>
      </c>
    </row>
    <row r="36" spans="1:13" x14ac:dyDescent="0.3">
      <c r="A36" t="s">
        <v>44</v>
      </c>
      <c r="B36" s="3">
        <v>45584</v>
      </c>
      <c r="C36" t="s">
        <v>312</v>
      </c>
      <c r="D36" t="s">
        <v>325</v>
      </c>
      <c r="E36" t="s">
        <v>328</v>
      </c>
      <c r="F36" t="s">
        <v>332</v>
      </c>
      <c r="G36" t="s">
        <v>340</v>
      </c>
      <c r="H36" t="s">
        <v>350</v>
      </c>
      <c r="I36">
        <v>8</v>
      </c>
      <c r="J36" s="9">
        <v>37291</v>
      </c>
      <c r="K36" s="9">
        <f t="shared" si="0"/>
        <v>298328</v>
      </c>
      <c r="L36" t="str">
        <f t="shared" si="1"/>
        <v>Oct-2024</v>
      </c>
      <c r="M36" t="str">
        <f t="shared" si="2"/>
        <v>Q4</v>
      </c>
    </row>
    <row r="37" spans="1:13" x14ac:dyDescent="0.3">
      <c r="A37" t="s">
        <v>45</v>
      </c>
      <c r="B37" s="3">
        <v>45526</v>
      </c>
      <c r="C37" t="s">
        <v>312</v>
      </c>
      <c r="D37" t="s">
        <v>317</v>
      </c>
      <c r="E37" t="s">
        <v>329</v>
      </c>
      <c r="F37" t="s">
        <v>333</v>
      </c>
      <c r="G37" t="s">
        <v>338</v>
      </c>
      <c r="H37" t="s">
        <v>354</v>
      </c>
      <c r="I37">
        <v>4</v>
      </c>
      <c r="J37" s="9">
        <v>3198</v>
      </c>
      <c r="K37" s="9">
        <f t="shared" si="0"/>
        <v>12792</v>
      </c>
      <c r="L37" t="str">
        <f t="shared" si="1"/>
        <v>Aug-2024</v>
      </c>
      <c r="M37" t="str">
        <f t="shared" si="2"/>
        <v>Q3</v>
      </c>
    </row>
    <row r="38" spans="1:13" x14ac:dyDescent="0.3">
      <c r="A38" t="s">
        <v>46</v>
      </c>
      <c r="B38" s="3">
        <v>45338</v>
      </c>
      <c r="C38" t="s">
        <v>313</v>
      </c>
      <c r="D38" t="s">
        <v>323</v>
      </c>
      <c r="E38" t="s">
        <v>326</v>
      </c>
      <c r="F38" t="s">
        <v>332</v>
      </c>
      <c r="G38" t="s">
        <v>336</v>
      </c>
      <c r="H38" t="s">
        <v>346</v>
      </c>
      <c r="I38">
        <v>4</v>
      </c>
      <c r="J38" s="9">
        <v>2822</v>
      </c>
      <c r="K38" s="9">
        <f t="shared" si="0"/>
        <v>11288</v>
      </c>
      <c r="L38" t="str">
        <f t="shared" si="1"/>
        <v>Feb-2024</v>
      </c>
      <c r="M38" t="str">
        <f t="shared" si="2"/>
        <v>Q1</v>
      </c>
    </row>
    <row r="39" spans="1:13" x14ac:dyDescent="0.3">
      <c r="A39" t="s">
        <v>47</v>
      </c>
      <c r="B39" s="3">
        <v>45351</v>
      </c>
      <c r="C39" t="s">
        <v>310</v>
      </c>
      <c r="D39" t="s">
        <v>322</v>
      </c>
      <c r="E39" t="s">
        <v>326</v>
      </c>
      <c r="F39" t="s">
        <v>332</v>
      </c>
      <c r="G39" t="s">
        <v>340</v>
      </c>
      <c r="H39" t="s">
        <v>350</v>
      </c>
      <c r="I39">
        <v>6</v>
      </c>
      <c r="J39" s="9">
        <v>44822</v>
      </c>
      <c r="K39" s="9">
        <f t="shared" si="0"/>
        <v>268932</v>
      </c>
      <c r="L39" t="str">
        <f t="shared" si="1"/>
        <v>Feb-2024</v>
      </c>
      <c r="M39" t="str">
        <f t="shared" si="2"/>
        <v>Q1</v>
      </c>
    </row>
    <row r="40" spans="1:13" x14ac:dyDescent="0.3">
      <c r="A40" t="s">
        <v>48</v>
      </c>
      <c r="B40" s="3">
        <v>45485</v>
      </c>
      <c r="C40" t="s">
        <v>310</v>
      </c>
      <c r="D40" t="s">
        <v>322</v>
      </c>
      <c r="E40" t="s">
        <v>328</v>
      </c>
      <c r="F40" t="s">
        <v>332</v>
      </c>
      <c r="G40" t="s">
        <v>335</v>
      </c>
      <c r="H40" t="s">
        <v>345</v>
      </c>
      <c r="I40">
        <v>10</v>
      </c>
      <c r="J40" s="9">
        <v>36258</v>
      </c>
      <c r="K40" s="9">
        <f t="shared" si="0"/>
        <v>362580</v>
      </c>
      <c r="L40" t="str">
        <f t="shared" si="1"/>
        <v>Jul-2024</v>
      </c>
      <c r="M40" t="str">
        <f t="shared" si="2"/>
        <v>Q3</v>
      </c>
    </row>
    <row r="41" spans="1:13" x14ac:dyDescent="0.3">
      <c r="A41" t="s">
        <v>49</v>
      </c>
      <c r="B41" s="3">
        <v>45398</v>
      </c>
      <c r="C41" t="s">
        <v>313</v>
      </c>
      <c r="D41" t="s">
        <v>319</v>
      </c>
      <c r="E41" t="s">
        <v>329</v>
      </c>
      <c r="F41" t="s">
        <v>333</v>
      </c>
      <c r="G41" t="s">
        <v>338</v>
      </c>
      <c r="H41" t="s">
        <v>354</v>
      </c>
      <c r="I41">
        <v>2</v>
      </c>
      <c r="J41" s="9">
        <v>1986</v>
      </c>
      <c r="K41" s="9">
        <f t="shared" si="0"/>
        <v>3972</v>
      </c>
      <c r="L41" t="str">
        <f t="shared" si="1"/>
        <v>Apr-2024</v>
      </c>
      <c r="M41" t="str">
        <f t="shared" si="2"/>
        <v>Q2</v>
      </c>
    </row>
    <row r="42" spans="1:13" x14ac:dyDescent="0.3">
      <c r="A42" t="s">
        <v>50</v>
      </c>
      <c r="B42" s="3">
        <v>45522</v>
      </c>
      <c r="C42" t="s">
        <v>312</v>
      </c>
      <c r="D42" t="s">
        <v>317</v>
      </c>
      <c r="E42" t="s">
        <v>326</v>
      </c>
      <c r="F42" t="s">
        <v>332</v>
      </c>
      <c r="G42" t="s">
        <v>336</v>
      </c>
      <c r="H42" t="s">
        <v>346</v>
      </c>
      <c r="I42">
        <v>11</v>
      </c>
      <c r="J42" s="9">
        <v>26319</v>
      </c>
      <c r="K42" s="9">
        <f t="shared" si="0"/>
        <v>289509</v>
      </c>
      <c r="L42" t="str">
        <f t="shared" si="1"/>
        <v>Aug-2024</v>
      </c>
      <c r="M42" t="str">
        <f t="shared" si="2"/>
        <v>Q3</v>
      </c>
    </row>
    <row r="43" spans="1:13" x14ac:dyDescent="0.3">
      <c r="A43" t="s">
        <v>51</v>
      </c>
      <c r="B43" s="3">
        <v>45349</v>
      </c>
      <c r="C43" t="s">
        <v>312</v>
      </c>
      <c r="D43" t="s">
        <v>321</v>
      </c>
      <c r="E43" t="s">
        <v>329</v>
      </c>
      <c r="F43" t="s">
        <v>333</v>
      </c>
      <c r="G43" t="s">
        <v>337</v>
      </c>
      <c r="H43" t="s">
        <v>347</v>
      </c>
      <c r="I43">
        <v>7</v>
      </c>
      <c r="J43" s="9">
        <v>40688</v>
      </c>
      <c r="K43" s="9">
        <f t="shared" si="0"/>
        <v>284816</v>
      </c>
      <c r="L43" t="str">
        <f t="shared" si="1"/>
        <v>Feb-2024</v>
      </c>
      <c r="M43" t="str">
        <f t="shared" si="2"/>
        <v>Q1</v>
      </c>
    </row>
    <row r="44" spans="1:13" x14ac:dyDescent="0.3">
      <c r="A44" t="s">
        <v>52</v>
      </c>
      <c r="B44" s="3">
        <v>45569</v>
      </c>
      <c r="C44" t="s">
        <v>311</v>
      </c>
      <c r="D44" t="s">
        <v>318</v>
      </c>
      <c r="E44" t="s">
        <v>330</v>
      </c>
      <c r="F44" t="s">
        <v>333</v>
      </c>
      <c r="G44" t="s">
        <v>338</v>
      </c>
      <c r="H44" t="s">
        <v>354</v>
      </c>
      <c r="I44">
        <v>10</v>
      </c>
      <c r="J44" s="9">
        <v>13255</v>
      </c>
      <c r="K44" s="9">
        <f t="shared" si="0"/>
        <v>132550</v>
      </c>
      <c r="L44" t="str">
        <f t="shared" si="1"/>
        <v>Oct-2024</v>
      </c>
      <c r="M44" t="str">
        <f t="shared" si="2"/>
        <v>Q4</v>
      </c>
    </row>
    <row r="45" spans="1:13" x14ac:dyDescent="0.3">
      <c r="A45" t="s">
        <v>53</v>
      </c>
      <c r="B45" s="3">
        <v>45521</v>
      </c>
      <c r="C45" t="s">
        <v>310</v>
      </c>
      <c r="D45" t="s">
        <v>320</v>
      </c>
      <c r="E45" t="s">
        <v>327</v>
      </c>
      <c r="F45" t="s">
        <v>331</v>
      </c>
      <c r="G45" t="s">
        <v>334</v>
      </c>
      <c r="H45" t="s">
        <v>343</v>
      </c>
      <c r="I45">
        <v>19</v>
      </c>
      <c r="J45" s="9">
        <v>42370</v>
      </c>
      <c r="K45" s="9">
        <f t="shared" si="0"/>
        <v>805030</v>
      </c>
      <c r="L45" t="str">
        <f t="shared" si="1"/>
        <v>Aug-2024</v>
      </c>
      <c r="M45" t="str">
        <f t="shared" si="2"/>
        <v>Q3</v>
      </c>
    </row>
    <row r="46" spans="1:13" x14ac:dyDescent="0.3">
      <c r="A46" t="s">
        <v>54</v>
      </c>
      <c r="B46" s="3">
        <v>45459</v>
      </c>
      <c r="C46" t="s">
        <v>313</v>
      </c>
      <c r="D46" t="s">
        <v>323</v>
      </c>
      <c r="E46" t="s">
        <v>330</v>
      </c>
      <c r="F46" t="s">
        <v>333</v>
      </c>
      <c r="G46" t="s">
        <v>338</v>
      </c>
      <c r="H46" t="s">
        <v>354</v>
      </c>
      <c r="I46">
        <v>11</v>
      </c>
      <c r="J46" s="9">
        <v>38145</v>
      </c>
      <c r="K46" s="9">
        <f t="shared" si="0"/>
        <v>419595</v>
      </c>
      <c r="L46" t="str">
        <f t="shared" si="1"/>
        <v>Jun-2024</v>
      </c>
      <c r="M46" t="str">
        <f t="shared" si="2"/>
        <v>Q2</v>
      </c>
    </row>
    <row r="47" spans="1:13" x14ac:dyDescent="0.3">
      <c r="A47" t="s">
        <v>55</v>
      </c>
      <c r="B47" s="3">
        <v>45417</v>
      </c>
      <c r="C47" t="s">
        <v>313</v>
      </c>
      <c r="D47" t="s">
        <v>323</v>
      </c>
      <c r="E47" t="s">
        <v>330</v>
      </c>
      <c r="F47" t="s">
        <v>333</v>
      </c>
      <c r="G47" t="s">
        <v>342</v>
      </c>
      <c r="H47" t="s">
        <v>352</v>
      </c>
      <c r="I47">
        <v>1</v>
      </c>
      <c r="J47" s="9">
        <v>16175</v>
      </c>
      <c r="K47" s="9">
        <f t="shared" si="0"/>
        <v>16175</v>
      </c>
      <c r="L47" t="str">
        <f t="shared" si="1"/>
        <v>May-2024</v>
      </c>
      <c r="M47" t="str">
        <f t="shared" si="2"/>
        <v>Q2</v>
      </c>
    </row>
    <row r="48" spans="1:13" x14ac:dyDescent="0.3">
      <c r="A48" t="s">
        <v>56</v>
      </c>
      <c r="B48" s="3">
        <v>45330</v>
      </c>
      <c r="C48" t="s">
        <v>311</v>
      </c>
      <c r="D48" t="s">
        <v>315</v>
      </c>
      <c r="E48" t="s">
        <v>327</v>
      </c>
      <c r="F48" t="s">
        <v>333</v>
      </c>
      <c r="G48" t="s">
        <v>337</v>
      </c>
      <c r="H48" t="s">
        <v>347</v>
      </c>
      <c r="I48">
        <v>1</v>
      </c>
      <c r="J48" s="9">
        <v>19259</v>
      </c>
      <c r="K48" s="9">
        <f t="shared" si="0"/>
        <v>19259</v>
      </c>
      <c r="L48" t="str">
        <f t="shared" si="1"/>
        <v>Feb-2024</v>
      </c>
      <c r="M48" t="str">
        <f t="shared" si="2"/>
        <v>Q1</v>
      </c>
    </row>
    <row r="49" spans="1:13" x14ac:dyDescent="0.3">
      <c r="A49" t="s">
        <v>57</v>
      </c>
      <c r="B49" s="3">
        <v>45548</v>
      </c>
      <c r="C49" t="s">
        <v>313</v>
      </c>
      <c r="D49" t="s">
        <v>324</v>
      </c>
      <c r="E49" t="s">
        <v>329</v>
      </c>
      <c r="F49" t="s">
        <v>333</v>
      </c>
      <c r="G49" t="s">
        <v>342</v>
      </c>
      <c r="H49" t="s">
        <v>352</v>
      </c>
      <c r="I49">
        <v>3</v>
      </c>
      <c r="J49" s="9">
        <v>33575</v>
      </c>
      <c r="K49" s="9">
        <f t="shared" si="0"/>
        <v>100725</v>
      </c>
      <c r="L49" t="str">
        <f t="shared" si="1"/>
        <v>Sep-2024</v>
      </c>
      <c r="M49" t="str">
        <f t="shared" si="2"/>
        <v>Q3</v>
      </c>
    </row>
    <row r="50" spans="1:13" x14ac:dyDescent="0.3">
      <c r="A50" t="s">
        <v>58</v>
      </c>
      <c r="B50" s="3">
        <v>45448</v>
      </c>
      <c r="C50" t="s">
        <v>310</v>
      </c>
      <c r="D50" t="s">
        <v>322</v>
      </c>
      <c r="E50" t="s">
        <v>327</v>
      </c>
      <c r="F50" t="s">
        <v>331</v>
      </c>
      <c r="G50" t="s">
        <v>339</v>
      </c>
      <c r="H50" t="s">
        <v>356</v>
      </c>
      <c r="I50">
        <v>17</v>
      </c>
      <c r="J50" s="9">
        <v>39645</v>
      </c>
      <c r="K50" s="9">
        <f t="shared" si="0"/>
        <v>673965</v>
      </c>
      <c r="L50" t="str">
        <f t="shared" si="1"/>
        <v>Jun-2024</v>
      </c>
      <c r="M50" t="str">
        <f t="shared" si="2"/>
        <v>Q2</v>
      </c>
    </row>
    <row r="51" spans="1:13" x14ac:dyDescent="0.3">
      <c r="A51" t="s">
        <v>59</v>
      </c>
      <c r="B51" s="3">
        <v>45308</v>
      </c>
      <c r="C51" t="s">
        <v>313</v>
      </c>
      <c r="D51" t="s">
        <v>323</v>
      </c>
      <c r="E51" t="s">
        <v>329</v>
      </c>
      <c r="F51" t="s">
        <v>331</v>
      </c>
      <c r="G51" t="s">
        <v>339</v>
      </c>
      <c r="H51" t="s">
        <v>349</v>
      </c>
      <c r="I51">
        <v>20</v>
      </c>
      <c r="J51" s="9">
        <v>44253</v>
      </c>
      <c r="K51" s="9">
        <f t="shared" si="0"/>
        <v>885060</v>
      </c>
      <c r="L51" t="str">
        <f t="shared" si="1"/>
        <v>Jan-2024</v>
      </c>
      <c r="M51" t="str">
        <f t="shared" si="2"/>
        <v>Q1</v>
      </c>
    </row>
    <row r="52" spans="1:13" x14ac:dyDescent="0.3">
      <c r="A52" t="s">
        <v>60</v>
      </c>
      <c r="B52" s="3">
        <v>45316</v>
      </c>
      <c r="C52" t="s">
        <v>310</v>
      </c>
      <c r="D52" t="s">
        <v>322</v>
      </c>
      <c r="E52" t="s">
        <v>330</v>
      </c>
      <c r="F52" t="s">
        <v>333</v>
      </c>
      <c r="G52" t="s">
        <v>338</v>
      </c>
      <c r="H52" t="s">
        <v>354</v>
      </c>
      <c r="I52">
        <v>9</v>
      </c>
      <c r="J52" s="9">
        <v>4421</v>
      </c>
      <c r="K52" s="9">
        <f t="shared" si="0"/>
        <v>39789</v>
      </c>
      <c r="L52" t="str">
        <f t="shared" si="1"/>
        <v>Jan-2024</v>
      </c>
      <c r="M52" t="str">
        <f t="shared" si="2"/>
        <v>Q1</v>
      </c>
    </row>
    <row r="53" spans="1:13" x14ac:dyDescent="0.3">
      <c r="A53" t="s">
        <v>61</v>
      </c>
      <c r="B53" s="3">
        <v>45567</v>
      </c>
      <c r="C53" t="s">
        <v>311</v>
      </c>
      <c r="D53" t="s">
        <v>316</v>
      </c>
      <c r="E53" t="s">
        <v>326</v>
      </c>
      <c r="F53" t="s">
        <v>332</v>
      </c>
      <c r="G53" t="s">
        <v>340</v>
      </c>
      <c r="H53" t="s">
        <v>350</v>
      </c>
      <c r="I53">
        <v>1</v>
      </c>
      <c r="J53" s="9">
        <v>26133</v>
      </c>
      <c r="K53" s="9">
        <f t="shared" si="0"/>
        <v>26133</v>
      </c>
      <c r="L53" t="str">
        <f t="shared" si="1"/>
        <v>Oct-2024</v>
      </c>
      <c r="M53" t="str">
        <f t="shared" si="2"/>
        <v>Q4</v>
      </c>
    </row>
    <row r="54" spans="1:13" x14ac:dyDescent="0.3">
      <c r="A54" t="s">
        <v>62</v>
      </c>
      <c r="B54" s="3">
        <v>45622</v>
      </c>
      <c r="C54" t="s">
        <v>313</v>
      </c>
      <c r="D54" t="s">
        <v>323</v>
      </c>
      <c r="E54" t="s">
        <v>326</v>
      </c>
      <c r="F54" t="s">
        <v>333</v>
      </c>
      <c r="G54" t="s">
        <v>338</v>
      </c>
      <c r="H54" t="s">
        <v>354</v>
      </c>
      <c r="I54">
        <v>19</v>
      </c>
      <c r="J54" s="9">
        <v>1439</v>
      </c>
      <c r="K54" s="9">
        <f t="shared" si="0"/>
        <v>27341</v>
      </c>
      <c r="L54" t="str">
        <f t="shared" si="1"/>
        <v>Nov-2024</v>
      </c>
      <c r="M54" t="str">
        <f t="shared" si="2"/>
        <v>Q4</v>
      </c>
    </row>
    <row r="55" spans="1:13" x14ac:dyDescent="0.3">
      <c r="A55" t="s">
        <v>63</v>
      </c>
      <c r="B55" s="3">
        <v>45595</v>
      </c>
      <c r="C55" t="s">
        <v>312</v>
      </c>
      <c r="D55" t="s">
        <v>325</v>
      </c>
      <c r="E55" t="s">
        <v>330</v>
      </c>
      <c r="F55" t="s">
        <v>333</v>
      </c>
      <c r="G55" t="s">
        <v>337</v>
      </c>
      <c r="H55" t="s">
        <v>347</v>
      </c>
      <c r="I55">
        <v>5</v>
      </c>
      <c r="J55" s="9">
        <v>17181</v>
      </c>
      <c r="K55" s="9">
        <f t="shared" si="0"/>
        <v>85905</v>
      </c>
      <c r="L55" t="str">
        <f t="shared" si="1"/>
        <v>Oct-2024</v>
      </c>
      <c r="M55" t="str">
        <f t="shared" si="2"/>
        <v>Q4</v>
      </c>
    </row>
    <row r="56" spans="1:13" x14ac:dyDescent="0.3">
      <c r="A56" t="s">
        <v>64</v>
      </c>
      <c r="B56" s="3">
        <v>45605</v>
      </c>
      <c r="C56" t="s">
        <v>313</v>
      </c>
      <c r="D56" t="s">
        <v>324</v>
      </c>
      <c r="E56" t="s">
        <v>327</v>
      </c>
      <c r="F56" t="s">
        <v>332</v>
      </c>
      <c r="G56" t="s">
        <v>340</v>
      </c>
      <c r="H56" t="s">
        <v>350</v>
      </c>
      <c r="I56">
        <v>8</v>
      </c>
      <c r="J56" s="9">
        <v>32050</v>
      </c>
      <c r="K56" s="9">
        <f t="shared" si="0"/>
        <v>256400</v>
      </c>
      <c r="L56" t="str">
        <f t="shared" si="1"/>
        <v>Nov-2024</v>
      </c>
      <c r="M56" t="str">
        <f t="shared" si="2"/>
        <v>Q4</v>
      </c>
    </row>
    <row r="57" spans="1:13" x14ac:dyDescent="0.3">
      <c r="A57" t="s">
        <v>65</v>
      </c>
      <c r="B57" s="3">
        <v>45643</v>
      </c>
      <c r="C57" t="s">
        <v>312</v>
      </c>
      <c r="D57" t="s">
        <v>321</v>
      </c>
      <c r="E57" t="s">
        <v>330</v>
      </c>
      <c r="F57" t="s">
        <v>332</v>
      </c>
      <c r="G57" t="s">
        <v>340</v>
      </c>
      <c r="H57" t="s">
        <v>350</v>
      </c>
      <c r="I57">
        <v>8</v>
      </c>
      <c r="J57" s="9">
        <v>20711</v>
      </c>
      <c r="K57" s="9">
        <f t="shared" si="0"/>
        <v>165688</v>
      </c>
      <c r="L57" t="str">
        <f t="shared" si="1"/>
        <v>Dec-2024</v>
      </c>
      <c r="M57" t="str">
        <f t="shared" si="2"/>
        <v>Q4</v>
      </c>
    </row>
    <row r="58" spans="1:13" x14ac:dyDescent="0.3">
      <c r="A58" t="s">
        <v>66</v>
      </c>
      <c r="B58" s="3">
        <v>45464</v>
      </c>
      <c r="C58" t="s">
        <v>311</v>
      </c>
      <c r="D58" t="s">
        <v>318</v>
      </c>
      <c r="E58" t="s">
        <v>328</v>
      </c>
      <c r="F58" t="s">
        <v>333</v>
      </c>
      <c r="G58" t="s">
        <v>342</v>
      </c>
      <c r="H58" t="s">
        <v>355</v>
      </c>
      <c r="I58">
        <v>20</v>
      </c>
      <c r="J58" s="9">
        <v>47924</v>
      </c>
      <c r="K58" s="9">
        <f t="shared" si="0"/>
        <v>958480</v>
      </c>
      <c r="L58" t="str">
        <f t="shared" si="1"/>
        <v>Jun-2024</v>
      </c>
      <c r="M58" t="str">
        <f t="shared" si="2"/>
        <v>Q2</v>
      </c>
    </row>
    <row r="59" spans="1:13" x14ac:dyDescent="0.3">
      <c r="A59" t="s">
        <v>67</v>
      </c>
      <c r="B59" s="3">
        <v>45553</v>
      </c>
      <c r="C59" t="s">
        <v>313</v>
      </c>
      <c r="D59" t="s">
        <v>319</v>
      </c>
      <c r="E59" t="s">
        <v>329</v>
      </c>
      <c r="F59" t="s">
        <v>331</v>
      </c>
      <c r="G59" t="s">
        <v>339</v>
      </c>
      <c r="H59" t="s">
        <v>357</v>
      </c>
      <c r="I59">
        <v>6</v>
      </c>
      <c r="J59" s="9">
        <v>33730</v>
      </c>
      <c r="K59" s="9">
        <f t="shared" si="0"/>
        <v>202380</v>
      </c>
      <c r="L59" t="str">
        <f t="shared" si="1"/>
        <v>Sep-2024</v>
      </c>
      <c r="M59" t="str">
        <f t="shared" si="2"/>
        <v>Q3</v>
      </c>
    </row>
    <row r="60" spans="1:13" x14ac:dyDescent="0.3">
      <c r="A60" t="s">
        <v>68</v>
      </c>
      <c r="B60" s="3">
        <v>45574</v>
      </c>
      <c r="C60" t="s">
        <v>310</v>
      </c>
      <c r="D60" t="s">
        <v>320</v>
      </c>
      <c r="E60" t="s">
        <v>329</v>
      </c>
      <c r="F60" t="s">
        <v>333</v>
      </c>
      <c r="G60" t="s">
        <v>337</v>
      </c>
      <c r="H60" t="s">
        <v>347</v>
      </c>
      <c r="I60">
        <v>6</v>
      </c>
      <c r="J60" s="9">
        <v>46159</v>
      </c>
      <c r="K60" s="9">
        <f t="shared" si="0"/>
        <v>276954</v>
      </c>
      <c r="L60" t="str">
        <f t="shared" si="1"/>
        <v>Oct-2024</v>
      </c>
      <c r="M60" t="str">
        <f t="shared" si="2"/>
        <v>Q4</v>
      </c>
    </row>
    <row r="61" spans="1:13" x14ac:dyDescent="0.3">
      <c r="A61" t="s">
        <v>69</v>
      </c>
      <c r="B61" s="3">
        <v>45555</v>
      </c>
      <c r="C61" t="s">
        <v>311</v>
      </c>
      <c r="D61" t="s">
        <v>318</v>
      </c>
      <c r="E61" t="s">
        <v>328</v>
      </c>
      <c r="F61" t="s">
        <v>331</v>
      </c>
      <c r="G61" t="s">
        <v>339</v>
      </c>
      <c r="H61" t="s">
        <v>349</v>
      </c>
      <c r="I61">
        <v>13</v>
      </c>
      <c r="J61" s="9">
        <v>11752</v>
      </c>
      <c r="K61" s="9">
        <f t="shared" si="0"/>
        <v>152776</v>
      </c>
      <c r="L61" t="str">
        <f t="shared" si="1"/>
        <v>Sep-2024</v>
      </c>
      <c r="M61" t="str">
        <f t="shared" si="2"/>
        <v>Q3</v>
      </c>
    </row>
    <row r="62" spans="1:13" x14ac:dyDescent="0.3">
      <c r="A62" t="s">
        <v>70</v>
      </c>
      <c r="B62" s="3">
        <v>45545</v>
      </c>
      <c r="C62" t="s">
        <v>310</v>
      </c>
      <c r="D62" t="s">
        <v>320</v>
      </c>
      <c r="E62" t="s">
        <v>326</v>
      </c>
      <c r="F62" t="s">
        <v>333</v>
      </c>
      <c r="G62" t="s">
        <v>342</v>
      </c>
      <c r="H62" t="s">
        <v>352</v>
      </c>
      <c r="I62">
        <v>12</v>
      </c>
      <c r="J62" s="9">
        <v>25364</v>
      </c>
      <c r="K62" s="9">
        <f t="shared" si="0"/>
        <v>304368</v>
      </c>
      <c r="L62" t="str">
        <f t="shared" si="1"/>
        <v>Sep-2024</v>
      </c>
      <c r="M62" t="str">
        <f t="shared" si="2"/>
        <v>Q3</v>
      </c>
    </row>
    <row r="63" spans="1:13" x14ac:dyDescent="0.3">
      <c r="A63" t="s">
        <v>71</v>
      </c>
      <c r="B63" s="3">
        <v>45422</v>
      </c>
      <c r="C63" t="s">
        <v>310</v>
      </c>
      <c r="D63" t="s">
        <v>314</v>
      </c>
      <c r="E63" t="s">
        <v>327</v>
      </c>
      <c r="F63" t="s">
        <v>332</v>
      </c>
      <c r="G63" t="s">
        <v>335</v>
      </c>
      <c r="H63" t="s">
        <v>344</v>
      </c>
      <c r="I63">
        <v>9</v>
      </c>
      <c r="J63" s="9">
        <v>48493</v>
      </c>
      <c r="K63" s="9">
        <f t="shared" si="0"/>
        <v>436437</v>
      </c>
      <c r="L63" t="str">
        <f t="shared" si="1"/>
        <v>May-2024</v>
      </c>
      <c r="M63" t="str">
        <f t="shared" si="2"/>
        <v>Q2</v>
      </c>
    </row>
    <row r="64" spans="1:13" x14ac:dyDescent="0.3">
      <c r="A64" t="s">
        <v>72</v>
      </c>
      <c r="B64" s="3">
        <v>45519</v>
      </c>
      <c r="C64" t="s">
        <v>312</v>
      </c>
      <c r="D64" t="s">
        <v>321</v>
      </c>
      <c r="E64" t="s">
        <v>330</v>
      </c>
      <c r="F64" t="s">
        <v>332</v>
      </c>
      <c r="G64" t="s">
        <v>336</v>
      </c>
      <c r="H64" t="s">
        <v>346</v>
      </c>
      <c r="I64">
        <v>13</v>
      </c>
      <c r="J64" s="9">
        <v>28571</v>
      </c>
      <c r="K64" s="9">
        <f t="shared" si="0"/>
        <v>371423</v>
      </c>
      <c r="L64" t="str">
        <f t="shared" si="1"/>
        <v>Aug-2024</v>
      </c>
      <c r="M64" t="str">
        <f t="shared" si="2"/>
        <v>Q3</v>
      </c>
    </row>
    <row r="65" spans="1:13" x14ac:dyDescent="0.3">
      <c r="A65" t="s">
        <v>73</v>
      </c>
      <c r="B65" s="3">
        <v>45610</v>
      </c>
      <c r="C65" t="s">
        <v>311</v>
      </c>
      <c r="D65" t="s">
        <v>315</v>
      </c>
      <c r="E65" t="s">
        <v>326</v>
      </c>
      <c r="F65" t="s">
        <v>333</v>
      </c>
      <c r="G65" t="s">
        <v>338</v>
      </c>
      <c r="H65" t="s">
        <v>354</v>
      </c>
      <c r="I65">
        <v>7</v>
      </c>
      <c r="J65" s="9">
        <v>8011</v>
      </c>
      <c r="K65" s="9">
        <f t="shared" si="0"/>
        <v>56077</v>
      </c>
      <c r="L65" t="str">
        <f t="shared" si="1"/>
        <v>Nov-2024</v>
      </c>
      <c r="M65" t="str">
        <f t="shared" si="2"/>
        <v>Q4</v>
      </c>
    </row>
    <row r="66" spans="1:13" x14ac:dyDescent="0.3">
      <c r="A66" t="s">
        <v>74</v>
      </c>
      <c r="B66" s="3">
        <v>45630</v>
      </c>
      <c r="C66" t="s">
        <v>311</v>
      </c>
      <c r="D66" t="s">
        <v>318</v>
      </c>
      <c r="E66" t="s">
        <v>329</v>
      </c>
      <c r="F66" t="s">
        <v>332</v>
      </c>
      <c r="G66" t="s">
        <v>340</v>
      </c>
      <c r="H66" t="s">
        <v>350</v>
      </c>
      <c r="I66">
        <v>9</v>
      </c>
      <c r="J66" s="9">
        <v>16467</v>
      </c>
      <c r="K66" s="9">
        <f t="shared" si="0"/>
        <v>148203</v>
      </c>
      <c r="L66" t="str">
        <f t="shared" si="1"/>
        <v>Dec-2024</v>
      </c>
      <c r="M66" t="str">
        <f t="shared" si="2"/>
        <v>Q4</v>
      </c>
    </row>
    <row r="67" spans="1:13" x14ac:dyDescent="0.3">
      <c r="A67" t="s">
        <v>75</v>
      </c>
      <c r="B67" s="3">
        <v>45562</v>
      </c>
      <c r="C67" t="s">
        <v>311</v>
      </c>
      <c r="D67" t="s">
        <v>318</v>
      </c>
      <c r="E67" t="s">
        <v>326</v>
      </c>
      <c r="F67" t="s">
        <v>332</v>
      </c>
      <c r="G67" t="s">
        <v>335</v>
      </c>
      <c r="H67" t="s">
        <v>344</v>
      </c>
      <c r="I67">
        <v>19</v>
      </c>
      <c r="J67" s="9">
        <v>1578</v>
      </c>
      <c r="K67" s="9">
        <f t="shared" ref="K67:K130" si="3">I67*J67</f>
        <v>29982</v>
      </c>
      <c r="L67" t="str">
        <f t="shared" ref="L67:L130" si="4">TEXT(B67,"MMM-YYYY")</f>
        <v>Sep-2024</v>
      </c>
      <c r="M67" t="str">
        <f t="shared" ref="M67:M130" si="5">IF(MONTH(L67)&lt;=3,"Q1",IF(MONTH(L67)&lt;=6,"Q2",IF(MONTH(L67)&lt;=9,"Q3","Q4")))</f>
        <v>Q3</v>
      </c>
    </row>
    <row r="68" spans="1:13" x14ac:dyDescent="0.3">
      <c r="A68" t="s">
        <v>76</v>
      </c>
      <c r="B68" s="3">
        <v>45397</v>
      </c>
      <c r="C68" t="s">
        <v>312</v>
      </c>
      <c r="D68" t="s">
        <v>325</v>
      </c>
      <c r="E68" t="s">
        <v>330</v>
      </c>
      <c r="F68" t="s">
        <v>332</v>
      </c>
      <c r="G68" t="s">
        <v>335</v>
      </c>
      <c r="H68" t="s">
        <v>345</v>
      </c>
      <c r="I68">
        <v>10</v>
      </c>
      <c r="J68" s="9">
        <v>9926</v>
      </c>
      <c r="K68" s="9">
        <f t="shared" si="3"/>
        <v>99260</v>
      </c>
      <c r="L68" t="str">
        <f t="shared" si="4"/>
        <v>Apr-2024</v>
      </c>
      <c r="M68" t="str">
        <f t="shared" si="5"/>
        <v>Q2</v>
      </c>
    </row>
    <row r="69" spans="1:13" x14ac:dyDescent="0.3">
      <c r="A69" t="s">
        <v>77</v>
      </c>
      <c r="B69" s="3">
        <v>45641</v>
      </c>
      <c r="C69" t="s">
        <v>310</v>
      </c>
      <c r="D69" t="s">
        <v>320</v>
      </c>
      <c r="E69" t="s">
        <v>326</v>
      </c>
      <c r="F69" t="s">
        <v>333</v>
      </c>
      <c r="G69" t="s">
        <v>337</v>
      </c>
      <c r="H69" t="s">
        <v>347</v>
      </c>
      <c r="I69">
        <v>6</v>
      </c>
      <c r="J69" s="9">
        <v>35941</v>
      </c>
      <c r="K69" s="9">
        <f t="shared" si="3"/>
        <v>215646</v>
      </c>
      <c r="L69" t="str">
        <f t="shared" si="4"/>
        <v>Dec-2024</v>
      </c>
      <c r="M69" t="str">
        <f t="shared" si="5"/>
        <v>Q4</v>
      </c>
    </row>
    <row r="70" spans="1:13" x14ac:dyDescent="0.3">
      <c r="A70" t="s">
        <v>78</v>
      </c>
      <c r="B70" s="3">
        <v>45584</v>
      </c>
      <c r="C70" t="s">
        <v>313</v>
      </c>
      <c r="D70" t="s">
        <v>324</v>
      </c>
      <c r="E70" t="s">
        <v>326</v>
      </c>
      <c r="F70" t="s">
        <v>333</v>
      </c>
      <c r="G70" t="s">
        <v>342</v>
      </c>
      <c r="H70" t="s">
        <v>352</v>
      </c>
      <c r="I70">
        <v>7</v>
      </c>
      <c r="J70" s="9">
        <v>18815</v>
      </c>
      <c r="K70" s="9">
        <f t="shared" si="3"/>
        <v>131705</v>
      </c>
      <c r="L70" t="str">
        <f t="shared" si="4"/>
        <v>Oct-2024</v>
      </c>
      <c r="M70" t="str">
        <f t="shared" si="5"/>
        <v>Q4</v>
      </c>
    </row>
    <row r="71" spans="1:13" x14ac:dyDescent="0.3">
      <c r="A71" t="s">
        <v>79</v>
      </c>
      <c r="B71" s="3">
        <v>45571</v>
      </c>
      <c r="C71" t="s">
        <v>312</v>
      </c>
      <c r="D71" t="s">
        <v>321</v>
      </c>
      <c r="E71" t="s">
        <v>329</v>
      </c>
      <c r="F71" t="s">
        <v>331</v>
      </c>
      <c r="G71" t="s">
        <v>341</v>
      </c>
      <c r="H71" t="s">
        <v>358</v>
      </c>
      <c r="I71">
        <v>5</v>
      </c>
      <c r="J71" s="9">
        <v>5127</v>
      </c>
      <c r="K71" s="9">
        <f t="shared" si="3"/>
        <v>25635</v>
      </c>
      <c r="L71" t="str">
        <f t="shared" si="4"/>
        <v>Oct-2024</v>
      </c>
      <c r="M71" t="str">
        <f t="shared" si="5"/>
        <v>Q4</v>
      </c>
    </row>
    <row r="72" spans="1:13" x14ac:dyDescent="0.3">
      <c r="A72" t="s">
        <v>80</v>
      </c>
      <c r="B72" s="3">
        <v>45562</v>
      </c>
      <c r="C72" t="s">
        <v>313</v>
      </c>
      <c r="D72" t="s">
        <v>319</v>
      </c>
      <c r="E72" t="s">
        <v>329</v>
      </c>
      <c r="F72" t="s">
        <v>333</v>
      </c>
      <c r="G72" t="s">
        <v>338</v>
      </c>
      <c r="H72" t="s">
        <v>348</v>
      </c>
      <c r="I72">
        <v>1</v>
      </c>
      <c r="J72" s="9">
        <v>8319</v>
      </c>
      <c r="K72" s="9">
        <f t="shared" si="3"/>
        <v>8319</v>
      </c>
      <c r="L72" t="str">
        <f t="shared" si="4"/>
        <v>Sep-2024</v>
      </c>
      <c r="M72" t="str">
        <f t="shared" si="5"/>
        <v>Q3</v>
      </c>
    </row>
    <row r="73" spans="1:13" x14ac:dyDescent="0.3">
      <c r="A73" t="s">
        <v>81</v>
      </c>
      <c r="B73" s="3">
        <v>45568</v>
      </c>
      <c r="C73" t="s">
        <v>311</v>
      </c>
      <c r="D73" t="s">
        <v>318</v>
      </c>
      <c r="E73" t="s">
        <v>326</v>
      </c>
      <c r="F73" t="s">
        <v>333</v>
      </c>
      <c r="G73" t="s">
        <v>338</v>
      </c>
      <c r="H73" t="s">
        <v>348</v>
      </c>
      <c r="I73">
        <v>11</v>
      </c>
      <c r="J73" s="9">
        <v>48115</v>
      </c>
      <c r="K73" s="9">
        <f t="shared" si="3"/>
        <v>529265</v>
      </c>
      <c r="L73" t="str">
        <f t="shared" si="4"/>
        <v>Oct-2024</v>
      </c>
      <c r="M73" t="str">
        <f t="shared" si="5"/>
        <v>Q4</v>
      </c>
    </row>
    <row r="74" spans="1:13" x14ac:dyDescent="0.3">
      <c r="A74" t="s">
        <v>82</v>
      </c>
      <c r="B74" s="3">
        <v>45396</v>
      </c>
      <c r="C74" t="s">
        <v>311</v>
      </c>
      <c r="D74" t="s">
        <v>315</v>
      </c>
      <c r="E74" t="s">
        <v>328</v>
      </c>
      <c r="F74" t="s">
        <v>332</v>
      </c>
      <c r="G74" t="s">
        <v>340</v>
      </c>
      <c r="H74" t="s">
        <v>350</v>
      </c>
      <c r="I74">
        <v>1</v>
      </c>
      <c r="J74" s="9">
        <v>18394</v>
      </c>
      <c r="K74" s="9">
        <f t="shared" si="3"/>
        <v>18394</v>
      </c>
      <c r="L74" t="str">
        <f t="shared" si="4"/>
        <v>Apr-2024</v>
      </c>
      <c r="M74" t="str">
        <f t="shared" si="5"/>
        <v>Q2</v>
      </c>
    </row>
    <row r="75" spans="1:13" x14ac:dyDescent="0.3">
      <c r="A75" t="s">
        <v>83</v>
      </c>
      <c r="B75" s="3">
        <v>45656</v>
      </c>
      <c r="C75" t="s">
        <v>310</v>
      </c>
      <c r="D75" t="s">
        <v>320</v>
      </c>
      <c r="E75" t="s">
        <v>329</v>
      </c>
      <c r="F75" t="s">
        <v>332</v>
      </c>
      <c r="G75" t="s">
        <v>336</v>
      </c>
      <c r="H75" t="s">
        <v>346</v>
      </c>
      <c r="I75">
        <v>6</v>
      </c>
      <c r="J75" s="9">
        <v>29651</v>
      </c>
      <c r="K75" s="9">
        <f t="shared" si="3"/>
        <v>177906</v>
      </c>
      <c r="L75" t="str">
        <f t="shared" si="4"/>
        <v>Dec-2024</v>
      </c>
      <c r="M75" t="str">
        <f t="shared" si="5"/>
        <v>Q4</v>
      </c>
    </row>
    <row r="76" spans="1:13" x14ac:dyDescent="0.3">
      <c r="A76" t="s">
        <v>84</v>
      </c>
      <c r="B76" s="3">
        <v>45588</v>
      </c>
      <c r="C76" t="s">
        <v>310</v>
      </c>
      <c r="D76" t="s">
        <v>320</v>
      </c>
      <c r="E76" t="s">
        <v>326</v>
      </c>
      <c r="F76" t="s">
        <v>332</v>
      </c>
      <c r="G76" t="s">
        <v>335</v>
      </c>
      <c r="H76" t="s">
        <v>345</v>
      </c>
      <c r="I76">
        <v>13</v>
      </c>
      <c r="J76" s="9">
        <v>22220</v>
      </c>
      <c r="K76" s="9">
        <f t="shared" si="3"/>
        <v>288860</v>
      </c>
      <c r="L76" t="str">
        <f t="shared" si="4"/>
        <v>Oct-2024</v>
      </c>
      <c r="M76" t="str">
        <f t="shared" si="5"/>
        <v>Q4</v>
      </c>
    </row>
    <row r="77" spans="1:13" x14ac:dyDescent="0.3">
      <c r="A77" t="s">
        <v>85</v>
      </c>
      <c r="B77" s="3">
        <v>45614</v>
      </c>
      <c r="C77" t="s">
        <v>312</v>
      </c>
      <c r="D77" t="s">
        <v>317</v>
      </c>
      <c r="E77" t="s">
        <v>327</v>
      </c>
      <c r="F77" t="s">
        <v>332</v>
      </c>
      <c r="G77" t="s">
        <v>335</v>
      </c>
      <c r="H77" t="s">
        <v>345</v>
      </c>
      <c r="I77">
        <v>14</v>
      </c>
      <c r="J77" s="9">
        <v>47470</v>
      </c>
      <c r="K77" s="9">
        <f t="shared" si="3"/>
        <v>664580</v>
      </c>
      <c r="L77" t="str">
        <f t="shared" si="4"/>
        <v>Nov-2024</v>
      </c>
      <c r="M77" t="str">
        <f t="shared" si="5"/>
        <v>Q4</v>
      </c>
    </row>
    <row r="78" spans="1:13" x14ac:dyDescent="0.3">
      <c r="A78" t="s">
        <v>86</v>
      </c>
      <c r="B78" s="3">
        <v>45329</v>
      </c>
      <c r="C78" t="s">
        <v>310</v>
      </c>
      <c r="D78" t="s">
        <v>314</v>
      </c>
      <c r="E78" t="s">
        <v>328</v>
      </c>
      <c r="F78" t="s">
        <v>333</v>
      </c>
      <c r="G78" t="s">
        <v>338</v>
      </c>
      <c r="H78" t="s">
        <v>354</v>
      </c>
      <c r="I78">
        <v>1</v>
      </c>
      <c r="J78" s="9">
        <v>23101</v>
      </c>
      <c r="K78" s="9">
        <f t="shared" si="3"/>
        <v>23101</v>
      </c>
      <c r="L78" t="str">
        <f t="shared" si="4"/>
        <v>Feb-2024</v>
      </c>
      <c r="M78" t="str">
        <f t="shared" si="5"/>
        <v>Q1</v>
      </c>
    </row>
    <row r="79" spans="1:13" x14ac:dyDescent="0.3">
      <c r="A79" t="s">
        <v>87</v>
      </c>
      <c r="B79" s="3">
        <v>45369</v>
      </c>
      <c r="C79" t="s">
        <v>313</v>
      </c>
      <c r="D79" t="s">
        <v>319</v>
      </c>
      <c r="E79" t="s">
        <v>326</v>
      </c>
      <c r="F79" t="s">
        <v>333</v>
      </c>
      <c r="G79" t="s">
        <v>337</v>
      </c>
      <c r="H79" t="s">
        <v>347</v>
      </c>
      <c r="I79">
        <v>9</v>
      </c>
      <c r="J79" s="9">
        <v>31955</v>
      </c>
      <c r="K79" s="9">
        <f t="shared" si="3"/>
        <v>287595</v>
      </c>
      <c r="L79" t="str">
        <f t="shared" si="4"/>
        <v>Mar-2024</v>
      </c>
      <c r="M79" t="str">
        <f t="shared" si="5"/>
        <v>Q1</v>
      </c>
    </row>
    <row r="80" spans="1:13" x14ac:dyDescent="0.3">
      <c r="A80" t="s">
        <v>88</v>
      </c>
      <c r="B80" s="3">
        <v>45553</v>
      </c>
      <c r="C80" t="s">
        <v>310</v>
      </c>
      <c r="D80" t="s">
        <v>320</v>
      </c>
      <c r="E80" t="s">
        <v>327</v>
      </c>
      <c r="F80" t="s">
        <v>332</v>
      </c>
      <c r="G80" t="s">
        <v>335</v>
      </c>
      <c r="H80" t="s">
        <v>345</v>
      </c>
      <c r="I80">
        <v>19</v>
      </c>
      <c r="J80" s="9">
        <v>27895</v>
      </c>
      <c r="K80" s="9">
        <f t="shared" si="3"/>
        <v>530005</v>
      </c>
      <c r="L80" t="str">
        <f t="shared" si="4"/>
        <v>Sep-2024</v>
      </c>
      <c r="M80" t="str">
        <f t="shared" si="5"/>
        <v>Q3</v>
      </c>
    </row>
    <row r="81" spans="1:13" x14ac:dyDescent="0.3">
      <c r="A81" t="s">
        <v>89</v>
      </c>
      <c r="B81" s="3">
        <v>45302</v>
      </c>
      <c r="C81" t="s">
        <v>312</v>
      </c>
      <c r="D81" t="s">
        <v>317</v>
      </c>
      <c r="E81" t="s">
        <v>330</v>
      </c>
      <c r="F81" t="s">
        <v>331</v>
      </c>
      <c r="G81" t="s">
        <v>341</v>
      </c>
      <c r="H81" t="s">
        <v>351</v>
      </c>
      <c r="I81">
        <v>17</v>
      </c>
      <c r="J81" s="9">
        <v>46746</v>
      </c>
      <c r="K81" s="9">
        <f t="shared" si="3"/>
        <v>794682</v>
      </c>
      <c r="L81" t="str">
        <f t="shared" si="4"/>
        <v>Jan-2024</v>
      </c>
      <c r="M81" t="str">
        <f t="shared" si="5"/>
        <v>Q1</v>
      </c>
    </row>
    <row r="82" spans="1:13" x14ac:dyDescent="0.3">
      <c r="A82" t="s">
        <v>90</v>
      </c>
      <c r="B82" s="3">
        <v>45644</v>
      </c>
      <c r="C82" t="s">
        <v>310</v>
      </c>
      <c r="D82" t="s">
        <v>314</v>
      </c>
      <c r="E82" t="s">
        <v>329</v>
      </c>
      <c r="F82" t="s">
        <v>331</v>
      </c>
      <c r="G82" t="s">
        <v>334</v>
      </c>
      <c r="H82" t="s">
        <v>359</v>
      </c>
      <c r="I82">
        <v>20</v>
      </c>
      <c r="J82" s="9">
        <v>20149</v>
      </c>
      <c r="K82" s="9">
        <f t="shared" si="3"/>
        <v>402980</v>
      </c>
      <c r="L82" t="str">
        <f t="shared" si="4"/>
        <v>Dec-2024</v>
      </c>
      <c r="M82" t="str">
        <f t="shared" si="5"/>
        <v>Q4</v>
      </c>
    </row>
    <row r="83" spans="1:13" x14ac:dyDescent="0.3">
      <c r="A83" t="s">
        <v>91</v>
      </c>
      <c r="B83" s="3">
        <v>45429</v>
      </c>
      <c r="C83" t="s">
        <v>310</v>
      </c>
      <c r="D83" t="s">
        <v>314</v>
      </c>
      <c r="E83" t="s">
        <v>327</v>
      </c>
      <c r="F83" t="s">
        <v>331</v>
      </c>
      <c r="G83" t="s">
        <v>339</v>
      </c>
      <c r="H83" t="s">
        <v>356</v>
      </c>
      <c r="I83">
        <v>3</v>
      </c>
      <c r="J83" s="9">
        <v>46022</v>
      </c>
      <c r="K83" s="9">
        <f t="shared" si="3"/>
        <v>138066</v>
      </c>
      <c r="L83" t="str">
        <f t="shared" si="4"/>
        <v>May-2024</v>
      </c>
      <c r="M83" t="str">
        <f t="shared" si="5"/>
        <v>Q2</v>
      </c>
    </row>
    <row r="84" spans="1:13" x14ac:dyDescent="0.3">
      <c r="A84" t="s">
        <v>92</v>
      </c>
      <c r="B84" s="3">
        <v>45378</v>
      </c>
      <c r="C84" t="s">
        <v>313</v>
      </c>
      <c r="D84" t="s">
        <v>324</v>
      </c>
      <c r="E84" t="s">
        <v>329</v>
      </c>
      <c r="F84" t="s">
        <v>332</v>
      </c>
      <c r="G84" t="s">
        <v>336</v>
      </c>
      <c r="H84" t="s">
        <v>346</v>
      </c>
      <c r="I84">
        <v>18</v>
      </c>
      <c r="J84" s="9">
        <v>17879</v>
      </c>
      <c r="K84" s="9">
        <f t="shared" si="3"/>
        <v>321822</v>
      </c>
      <c r="L84" t="str">
        <f t="shared" si="4"/>
        <v>Mar-2024</v>
      </c>
      <c r="M84" t="str">
        <f t="shared" si="5"/>
        <v>Q1</v>
      </c>
    </row>
    <row r="85" spans="1:13" x14ac:dyDescent="0.3">
      <c r="A85" t="s">
        <v>93</v>
      </c>
      <c r="B85" s="3">
        <v>45579</v>
      </c>
      <c r="C85" t="s">
        <v>313</v>
      </c>
      <c r="D85" t="s">
        <v>319</v>
      </c>
      <c r="E85" t="s">
        <v>326</v>
      </c>
      <c r="F85" t="s">
        <v>332</v>
      </c>
      <c r="G85" t="s">
        <v>335</v>
      </c>
      <c r="H85" t="s">
        <v>345</v>
      </c>
      <c r="I85">
        <v>6</v>
      </c>
      <c r="J85" s="9">
        <v>31894</v>
      </c>
      <c r="K85" s="9">
        <f t="shared" si="3"/>
        <v>191364</v>
      </c>
      <c r="L85" t="str">
        <f t="shared" si="4"/>
        <v>Oct-2024</v>
      </c>
      <c r="M85" t="str">
        <f t="shared" si="5"/>
        <v>Q4</v>
      </c>
    </row>
    <row r="86" spans="1:13" x14ac:dyDescent="0.3">
      <c r="A86" t="s">
        <v>94</v>
      </c>
      <c r="B86" s="3">
        <v>45424</v>
      </c>
      <c r="C86" t="s">
        <v>313</v>
      </c>
      <c r="D86" t="s">
        <v>319</v>
      </c>
      <c r="E86" t="s">
        <v>328</v>
      </c>
      <c r="F86" t="s">
        <v>333</v>
      </c>
      <c r="G86" t="s">
        <v>337</v>
      </c>
      <c r="H86" t="s">
        <v>347</v>
      </c>
      <c r="I86">
        <v>8</v>
      </c>
      <c r="J86" s="9">
        <v>43508</v>
      </c>
      <c r="K86" s="9">
        <f t="shared" si="3"/>
        <v>348064</v>
      </c>
      <c r="L86" t="str">
        <f t="shared" si="4"/>
        <v>May-2024</v>
      </c>
      <c r="M86" t="str">
        <f t="shared" si="5"/>
        <v>Q2</v>
      </c>
    </row>
    <row r="87" spans="1:13" x14ac:dyDescent="0.3">
      <c r="A87" t="s">
        <v>95</v>
      </c>
      <c r="B87" s="3">
        <v>45419</v>
      </c>
      <c r="C87" t="s">
        <v>363</v>
      </c>
      <c r="D87" t="s">
        <v>325</v>
      </c>
      <c r="E87" t="s">
        <v>329</v>
      </c>
      <c r="F87" t="s">
        <v>333</v>
      </c>
      <c r="G87" t="s">
        <v>338</v>
      </c>
      <c r="H87" t="s">
        <v>348</v>
      </c>
      <c r="I87">
        <v>7</v>
      </c>
      <c r="J87" s="9">
        <v>4953</v>
      </c>
      <c r="K87" s="9">
        <f t="shared" si="3"/>
        <v>34671</v>
      </c>
      <c r="L87" t="str">
        <f t="shared" si="4"/>
        <v>May-2024</v>
      </c>
      <c r="M87" t="str">
        <f t="shared" si="5"/>
        <v>Q2</v>
      </c>
    </row>
    <row r="88" spans="1:13" x14ac:dyDescent="0.3">
      <c r="A88" t="s">
        <v>96</v>
      </c>
      <c r="B88" s="3">
        <v>45602</v>
      </c>
      <c r="C88" t="s">
        <v>310</v>
      </c>
      <c r="D88" t="s">
        <v>314</v>
      </c>
      <c r="E88" t="s">
        <v>329</v>
      </c>
      <c r="F88" t="s">
        <v>333</v>
      </c>
      <c r="G88" t="s">
        <v>337</v>
      </c>
      <c r="H88" t="s">
        <v>347</v>
      </c>
      <c r="I88">
        <v>15</v>
      </c>
      <c r="J88" s="9">
        <v>34710</v>
      </c>
      <c r="K88" s="9">
        <f t="shared" si="3"/>
        <v>520650</v>
      </c>
      <c r="L88" t="str">
        <f t="shared" si="4"/>
        <v>Nov-2024</v>
      </c>
      <c r="M88" t="str">
        <f t="shared" si="5"/>
        <v>Q4</v>
      </c>
    </row>
    <row r="89" spans="1:13" x14ac:dyDescent="0.3">
      <c r="A89" t="s">
        <v>97</v>
      </c>
      <c r="B89" s="3">
        <v>45476</v>
      </c>
      <c r="C89" t="s">
        <v>310</v>
      </c>
      <c r="D89" t="s">
        <v>322</v>
      </c>
      <c r="E89" t="s">
        <v>329</v>
      </c>
      <c r="F89" t="s">
        <v>331</v>
      </c>
      <c r="G89" t="s">
        <v>341</v>
      </c>
      <c r="H89" t="s">
        <v>351</v>
      </c>
      <c r="I89">
        <v>13</v>
      </c>
      <c r="J89" s="9">
        <v>15960</v>
      </c>
      <c r="K89" s="9">
        <f t="shared" si="3"/>
        <v>207480</v>
      </c>
      <c r="L89" t="str">
        <f t="shared" si="4"/>
        <v>Jul-2024</v>
      </c>
      <c r="M89" t="str">
        <f t="shared" si="5"/>
        <v>Q3</v>
      </c>
    </row>
    <row r="90" spans="1:13" x14ac:dyDescent="0.3">
      <c r="A90" t="s">
        <v>98</v>
      </c>
      <c r="B90" s="3">
        <v>45326</v>
      </c>
      <c r="C90" t="s">
        <v>312</v>
      </c>
      <c r="D90" t="s">
        <v>325</v>
      </c>
      <c r="E90" t="s">
        <v>327</v>
      </c>
      <c r="F90" t="s">
        <v>331</v>
      </c>
      <c r="G90" t="s">
        <v>341</v>
      </c>
      <c r="H90" t="s">
        <v>351</v>
      </c>
      <c r="I90">
        <v>8</v>
      </c>
      <c r="J90" s="9">
        <v>26218</v>
      </c>
      <c r="K90" s="9">
        <f t="shared" si="3"/>
        <v>209744</v>
      </c>
      <c r="L90" t="str">
        <f t="shared" si="4"/>
        <v>Feb-2024</v>
      </c>
      <c r="M90" t="str">
        <f t="shared" si="5"/>
        <v>Q1</v>
      </c>
    </row>
    <row r="91" spans="1:13" x14ac:dyDescent="0.3">
      <c r="A91" t="s">
        <v>99</v>
      </c>
      <c r="B91" s="3">
        <v>45320</v>
      </c>
      <c r="C91" t="s">
        <v>313</v>
      </c>
      <c r="D91" t="s">
        <v>324</v>
      </c>
      <c r="E91" t="s">
        <v>363</v>
      </c>
      <c r="F91" t="s">
        <v>331</v>
      </c>
      <c r="G91" t="s">
        <v>339</v>
      </c>
      <c r="H91" t="s">
        <v>357</v>
      </c>
      <c r="I91">
        <v>1</v>
      </c>
      <c r="J91" s="9">
        <v>49511</v>
      </c>
      <c r="K91" s="9">
        <f t="shared" si="3"/>
        <v>49511</v>
      </c>
      <c r="L91" t="str">
        <f t="shared" si="4"/>
        <v>Jan-2024</v>
      </c>
      <c r="M91" t="str">
        <f t="shared" si="5"/>
        <v>Q1</v>
      </c>
    </row>
    <row r="92" spans="1:13" x14ac:dyDescent="0.3">
      <c r="A92" t="s">
        <v>100</v>
      </c>
      <c r="B92" s="3">
        <v>45562</v>
      </c>
      <c r="C92" t="s">
        <v>310</v>
      </c>
      <c r="D92" t="s">
        <v>314</v>
      </c>
      <c r="E92" t="s">
        <v>328</v>
      </c>
      <c r="F92" t="s">
        <v>331</v>
      </c>
      <c r="G92" t="s">
        <v>334</v>
      </c>
      <c r="H92" t="s">
        <v>359</v>
      </c>
      <c r="I92">
        <v>15</v>
      </c>
      <c r="J92" s="9">
        <v>22642</v>
      </c>
      <c r="K92" s="9">
        <f t="shared" si="3"/>
        <v>339630</v>
      </c>
      <c r="L92" t="str">
        <f t="shared" si="4"/>
        <v>Sep-2024</v>
      </c>
      <c r="M92" t="str">
        <f t="shared" si="5"/>
        <v>Q3</v>
      </c>
    </row>
    <row r="93" spans="1:13" x14ac:dyDescent="0.3">
      <c r="A93" t="s">
        <v>101</v>
      </c>
      <c r="B93" s="3">
        <v>45340</v>
      </c>
      <c r="C93" t="s">
        <v>313</v>
      </c>
      <c r="D93" t="s">
        <v>323</v>
      </c>
      <c r="E93" t="s">
        <v>330</v>
      </c>
      <c r="F93" t="s">
        <v>332</v>
      </c>
      <c r="G93" t="s">
        <v>336</v>
      </c>
      <c r="H93" t="s">
        <v>346</v>
      </c>
      <c r="I93">
        <v>13</v>
      </c>
      <c r="J93" s="9">
        <v>15484</v>
      </c>
      <c r="K93" s="9">
        <f t="shared" si="3"/>
        <v>201292</v>
      </c>
      <c r="L93" t="str">
        <f t="shared" si="4"/>
        <v>Feb-2024</v>
      </c>
      <c r="M93" t="str">
        <f t="shared" si="5"/>
        <v>Q1</v>
      </c>
    </row>
    <row r="94" spans="1:13" x14ac:dyDescent="0.3">
      <c r="A94" t="s">
        <v>102</v>
      </c>
      <c r="B94" s="3">
        <v>45412</v>
      </c>
      <c r="C94" t="s">
        <v>311</v>
      </c>
      <c r="D94" t="s">
        <v>316</v>
      </c>
      <c r="E94" t="s">
        <v>329</v>
      </c>
      <c r="F94" t="s">
        <v>333</v>
      </c>
      <c r="G94" t="s">
        <v>342</v>
      </c>
      <c r="H94" t="s">
        <v>352</v>
      </c>
      <c r="I94">
        <v>15</v>
      </c>
      <c r="J94" s="9">
        <v>36049</v>
      </c>
      <c r="K94" s="9">
        <f t="shared" si="3"/>
        <v>540735</v>
      </c>
      <c r="L94" t="str">
        <f t="shared" si="4"/>
        <v>Apr-2024</v>
      </c>
      <c r="M94" t="str">
        <f t="shared" si="5"/>
        <v>Q2</v>
      </c>
    </row>
    <row r="95" spans="1:13" x14ac:dyDescent="0.3">
      <c r="A95" t="s">
        <v>103</v>
      </c>
      <c r="B95" s="3">
        <v>45461</v>
      </c>
      <c r="C95" t="s">
        <v>311</v>
      </c>
      <c r="D95" t="s">
        <v>315</v>
      </c>
      <c r="E95" t="s">
        <v>326</v>
      </c>
      <c r="F95" t="s">
        <v>333</v>
      </c>
      <c r="G95" t="s">
        <v>337</v>
      </c>
      <c r="H95" t="s">
        <v>347</v>
      </c>
      <c r="I95">
        <v>19</v>
      </c>
      <c r="J95" s="9">
        <v>7470</v>
      </c>
      <c r="K95" s="9">
        <f t="shared" si="3"/>
        <v>141930</v>
      </c>
      <c r="L95" t="str">
        <f t="shared" si="4"/>
        <v>Jun-2024</v>
      </c>
      <c r="M95" t="str">
        <f t="shared" si="5"/>
        <v>Q2</v>
      </c>
    </row>
    <row r="96" spans="1:13" x14ac:dyDescent="0.3">
      <c r="A96" t="s">
        <v>104</v>
      </c>
      <c r="B96" s="3">
        <v>45537</v>
      </c>
      <c r="C96" t="s">
        <v>310</v>
      </c>
      <c r="D96" t="s">
        <v>322</v>
      </c>
      <c r="E96" t="s">
        <v>329</v>
      </c>
      <c r="F96" t="s">
        <v>331</v>
      </c>
      <c r="G96" t="s">
        <v>339</v>
      </c>
      <c r="H96" t="s">
        <v>357</v>
      </c>
      <c r="I96">
        <v>13</v>
      </c>
      <c r="J96" s="9">
        <v>38227</v>
      </c>
      <c r="K96" s="9">
        <f t="shared" si="3"/>
        <v>496951</v>
      </c>
      <c r="L96" t="str">
        <f t="shared" si="4"/>
        <v>Sep-2024</v>
      </c>
      <c r="M96" t="str">
        <f t="shared" si="5"/>
        <v>Q3</v>
      </c>
    </row>
    <row r="97" spans="1:13" x14ac:dyDescent="0.3">
      <c r="A97" t="s">
        <v>105</v>
      </c>
      <c r="B97" s="3">
        <v>45307</v>
      </c>
      <c r="C97" t="s">
        <v>313</v>
      </c>
      <c r="D97" t="s">
        <v>323</v>
      </c>
      <c r="E97" t="s">
        <v>327</v>
      </c>
      <c r="F97" t="s">
        <v>333</v>
      </c>
      <c r="G97" t="s">
        <v>342</v>
      </c>
      <c r="H97" t="s">
        <v>352</v>
      </c>
      <c r="I97">
        <v>13</v>
      </c>
      <c r="J97" s="9">
        <v>9714</v>
      </c>
      <c r="K97" s="9">
        <f t="shared" si="3"/>
        <v>126282</v>
      </c>
      <c r="L97" t="str">
        <f t="shared" si="4"/>
        <v>Jan-2024</v>
      </c>
      <c r="M97" t="str">
        <f t="shared" si="5"/>
        <v>Q1</v>
      </c>
    </row>
    <row r="98" spans="1:13" x14ac:dyDescent="0.3">
      <c r="A98" t="s">
        <v>106</v>
      </c>
      <c r="B98" s="3">
        <v>45332</v>
      </c>
      <c r="C98" t="s">
        <v>312</v>
      </c>
      <c r="D98" t="s">
        <v>325</v>
      </c>
      <c r="E98" t="s">
        <v>326</v>
      </c>
      <c r="F98" t="s">
        <v>333</v>
      </c>
      <c r="G98" t="s">
        <v>338</v>
      </c>
      <c r="H98" t="s">
        <v>354</v>
      </c>
      <c r="I98">
        <v>10</v>
      </c>
      <c r="J98" s="9">
        <v>1146</v>
      </c>
      <c r="K98" s="9">
        <f t="shared" si="3"/>
        <v>11460</v>
      </c>
      <c r="L98" t="str">
        <f t="shared" si="4"/>
        <v>Feb-2024</v>
      </c>
      <c r="M98" t="str">
        <f t="shared" si="5"/>
        <v>Q1</v>
      </c>
    </row>
    <row r="99" spans="1:13" x14ac:dyDescent="0.3">
      <c r="A99" t="s">
        <v>107</v>
      </c>
      <c r="B99" s="3">
        <v>45313</v>
      </c>
      <c r="C99" t="s">
        <v>312</v>
      </c>
      <c r="D99" t="s">
        <v>325</v>
      </c>
      <c r="E99" t="s">
        <v>329</v>
      </c>
      <c r="F99" t="s">
        <v>331</v>
      </c>
      <c r="G99" t="s">
        <v>341</v>
      </c>
      <c r="H99" t="s">
        <v>358</v>
      </c>
      <c r="I99">
        <v>4</v>
      </c>
      <c r="J99" s="9">
        <v>28544</v>
      </c>
      <c r="K99" s="9">
        <f t="shared" si="3"/>
        <v>114176</v>
      </c>
      <c r="L99" t="str">
        <f t="shared" si="4"/>
        <v>Jan-2024</v>
      </c>
      <c r="M99" t="str">
        <f t="shared" si="5"/>
        <v>Q1</v>
      </c>
    </row>
    <row r="100" spans="1:13" x14ac:dyDescent="0.3">
      <c r="A100" t="s">
        <v>108</v>
      </c>
      <c r="B100" s="3">
        <v>45358</v>
      </c>
      <c r="C100" t="s">
        <v>312</v>
      </c>
      <c r="D100" t="s">
        <v>321</v>
      </c>
      <c r="E100" t="s">
        <v>329</v>
      </c>
      <c r="F100" t="s">
        <v>331</v>
      </c>
      <c r="G100" t="s">
        <v>334</v>
      </c>
      <c r="H100" t="s">
        <v>359</v>
      </c>
      <c r="I100">
        <v>7</v>
      </c>
      <c r="J100" s="9">
        <v>43651</v>
      </c>
      <c r="K100" s="9">
        <f t="shared" si="3"/>
        <v>305557</v>
      </c>
      <c r="L100" t="str">
        <f t="shared" si="4"/>
        <v>Mar-2024</v>
      </c>
      <c r="M100" t="str">
        <f t="shared" si="5"/>
        <v>Q1</v>
      </c>
    </row>
    <row r="101" spans="1:13" x14ac:dyDescent="0.3">
      <c r="A101" t="s">
        <v>109</v>
      </c>
      <c r="B101" s="3">
        <v>45425</v>
      </c>
      <c r="C101" t="s">
        <v>311</v>
      </c>
      <c r="D101" t="s">
        <v>316</v>
      </c>
      <c r="E101" t="s">
        <v>330</v>
      </c>
      <c r="F101" t="s">
        <v>333</v>
      </c>
      <c r="G101" t="s">
        <v>337</v>
      </c>
      <c r="H101" t="s">
        <v>347</v>
      </c>
      <c r="I101">
        <v>8</v>
      </c>
      <c r="J101" s="9">
        <v>4144</v>
      </c>
      <c r="K101" s="9">
        <f t="shared" si="3"/>
        <v>33152</v>
      </c>
      <c r="L101" t="str">
        <f t="shared" si="4"/>
        <v>May-2024</v>
      </c>
      <c r="M101" t="str">
        <f t="shared" si="5"/>
        <v>Q2</v>
      </c>
    </row>
    <row r="102" spans="1:13" x14ac:dyDescent="0.3">
      <c r="A102" t="s">
        <v>110</v>
      </c>
      <c r="B102" s="3">
        <v>45472</v>
      </c>
      <c r="C102" t="s">
        <v>310</v>
      </c>
      <c r="D102" t="s">
        <v>320</v>
      </c>
      <c r="E102" t="s">
        <v>328</v>
      </c>
      <c r="F102" t="s">
        <v>333</v>
      </c>
      <c r="G102" t="s">
        <v>337</v>
      </c>
      <c r="H102" t="s">
        <v>347</v>
      </c>
      <c r="I102">
        <v>14</v>
      </c>
      <c r="J102" s="9">
        <v>35464</v>
      </c>
      <c r="K102" s="9">
        <f t="shared" si="3"/>
        <v>496496</v>
      </c>
      <c r="L102" t="str">
        <f t="shared" si="4"/>
        <v>Jun-2024</v>
      </c>
      <c r="M102" t="str">
        <f t="shared" si="5"/>
        <v>Q2</v>
      </c>
    </row>
    <row r="103" spans="1:13" x14ac:dyDescent="0.3">
      <c r="A103" t="s">
        <v>111</v>
      </c>
      <c r="B103" s="3">
        <v>45657</v>
      </c>
      <c r="C103" t="s">
        <v>310</v>
      </c>
      <c r="D103" t="s">
        <v>314</v>
      </c>
      <c r="E103" t="s">
        <v>329</v>
      </c>
      <c r="F103" t="s">
        <v>332</v>
      </c>
      <c r="G103" t="s">
        <v>340</v>
      </c>
      <c r="H103" t="s">
        <v>350</v>
      </c>
      <c r="I103">
        <v>20</v>
      </c>
      <c r="J103" s="9">
        <v>47459</v>
      </c>
      <c r="K103" s="9">
        <f t="shared" si="3"/>
        <v>949180</v>
      </c>
      <c r="L103" t="str">
        <f t="shared" si="4"/>
        <v>Dec-2024</v>
      </c>
      <c r="M103" t="str">
        <f t="shared" si="5"/>
        <v>Q4</v>
      </c>
    </row>
    <row r="104" spans="1:13" x14ac:dyDescent="0.3">
      <c r="A104" t="s">
        <v>112</v>
      </c>
      <c r="B104" s="3">
        <v>45322</v>
      </c>
      <c r="C104" t="s">
        <v>363</v>
      </c>
      <c r="D104" t="s">
        <v>317</v>
      </c>
      <c r="E104" t="s">
        <v>330</v>
      </c>
      <c r="F104" t="s">
        <v>331</v>
      </c>
      <c r="G104" t="s">
        <v>339</v>
      </c>
      <c r="H104" t="s">
        <v>357</v>
      </c>
      <c r="I104">
        <v>14</v>
      </c>
      <c r="J104" s="9">
        <v>3142</v>
      </c>
      <c r="K104" s="9">
        <f t="shared" si="3"/>
        <v>43988</v>
      </c>
      <c r="L104" t="str">
        <f t="shared" si="4"/>
        <v>Jan-2024</v>
      </c>
      <c r="M104" t="str">
        <f t="shared" si="5"/>
        <v>Q1</v>
      </c>
    </row>
    <row r="105" spans="1:13" x14ac:dyDescent="0.3">
      <c r="A105" t="s">
        <v>113</v>
      </c>
      <c r="B105" s="3">
        <v>45548</v>
      </c>
      <c r="C105" t="s">
        <v>312</v>
      </c>
      <c r="D105" t="s">
        <v>325</v>
      </c>
      <c r="E105" t="s">
        <v>329</v>
      </c>
      <c r="F105" t="s">
        <v>331</v>
      </c>
      <c r="G105" t="s">
        <v>341</v>
      </c>
      <c r="H105" t="s">
        <v>351</v>
      </c>
      <c r="I105">
        <v>4</v>
      </c>
      <c r="J105" s="9">
        <v>20692</v>
      </c>
      <c r="K105" s="9">
        <f t="shared" si="3"/>
        <v>82768</v>
      </c>
      <c r="L105" t="str">
        <f t="shared" si="4"/>
        <v>Sep-2024</v>
      </c>
      <c r="M105" t="str">
        <f t="shared" si="5"/>
        <v>Q3</v>
      </c>
    </row>
    <row r="106" spans="1:13" x14ac:dyDescent="0.3">
      <c r="A106" t="s">
        <v>114</v>
      </c>
      <c r="B106" s="3">
        <v>45632</v>
      </c>
      <c r="C106" t="s">
        <v>312</v>
      </c>
      <c r="D106" t="s">
        <v>321</v>
      </c>
      <c r="E106" t="s">
        <v>330</v>
      </c>
      <c r="F106" t="s">
        <v>332</v>
      </c>
      <c r="G106" t="s">
        <v>335</v>
      </c>
      <c r="H106" t="s">
        <v>345</v>
      </c>
      <c r="I106">
        <v>13</v>
      </c>
      <c r="J106" s="9">
        <v>46576</v>
      </c>
      <c r="K106" s="9">
        <f t="shared" si="3"/>
        <v>605488</v>
      </c>
      <c r="L106" t="str">
        <f t="shared" si="4"/>
        <v>Dec-2024</v>
      </c>
      <c r="M106" t="str">
        <f t="shared" si="5"/>
        <v>Q4</v>
      </c>
    </row>
    <row r="107" spans="1:13" x14ac:dyDescent="0.3">
      <c r="A107" t="s">
        <v>115</v>
      </c>
      <c r="B107" s="3">
        <v>45338</v>
      </c>
      <c r="C107" t="s">
        <v>311</v>
      </c>
      <c r="D107" t="s">
        <v>315</v>
      </c>
      <c r="E107" t="s">
        <v>329</v>
      </c>
      <c r="F107" t="s">
        <v>332</v>
      </c>
      <c r="G107" t="s">
        <v>336</v>
      </c>
      <c r="H107" t="s">
        <v>346</v>
      </c>
      <c r="I107">
        <v>11</v>
      </c>
      <c r="J107" s="9">
        <v>5822</v>
      </c>
      <c r="K107" s="9">
        <f t="shared" si="3"/>
        <v>64042</v>
      </c>
      <c r="L107" t="str">
        <f t="shared" si="4"/>
        <v>Feb-2024</v>
      </c>
      <c r="M107" t="str">
        <f t="shared" si="5"/>
        <v>Q1</v>
      </c>
    </row>
    <row r="108" spans="1:13" x14ac:dyDescent="0.3">
      <c r="A108" t="s">
        <v>116</v>
      </c>
      <c r="B108" s="3">
        <v>45452</v>
      </c>
      <c r="C108" t="s">
        <v>313</v>
      </c>
      <c r="D108" t="s">
        <v>323</v>
      </c>
      <c r="E108" t="s">
        <v>330</v>
      </c>
      <c r="F108" t="s">
        <v>333</v>
      </c>
      <c r="G108" t="s">
        <v>342</v>
      </c>
      <c r="H108" t="s">
        <v>355</v>
      </c>
      <c r="I108">
        <v>9</v>
      </c>
      <c r="J108" s="9">
        <v>25115</v>
      </c>
      <c r="K108" s="9">
        <f t="shared" si="3"/>
        <v>226035</v>
      </c>
      <c r="L108" t="str">
        <f t="shared" si="4"/>
        <v>Jun-2024</v>
      </c>
      <c r="M108" t="str">
        <f t="shared" si="5"/>
        <v>Q2</v>
      </c>
    </row>
    <row r="109" spans="1:13" x14ac:dyDescent="0.3">
      <c r="A109" t="s">
        <v>117</v>
      </c>
      <c r="B109" s="3">
        <v>45417</v>
      </c>
      <c r="C109" t="s">
        <v>312</v>
      </c>
      <c r="D109" t="s">
        <v>325</v>
      </c>
      <c r="E109" t="s">
        <v>363</v>
      </c>
      <c r="F109" t="s">
        <v>333</v>
      </c>
      <c r="G109" t="s">
        <v>342</v>
      </c>
      <c r="H109" t="s">
        <v>355</v>
      </c>
      <c r="I109">
        <v>18</v>
      </c>
      <c r="J109" s="9">
        <v>13661</v>
      </c>
      <c r="K109" s="9">
        <f t="shared" si="3"/>
        <v>245898</v>
      </c>
      <c r="L109" t="str">
        <f t="shared" si="4"/>
        <v>May-2024</v>
      </c>
      <c r="M109" t="str">
        <f t="shared" si="5"/>
        <v>Q2</v>
      </c>
    </row>
    <row r="110" spans="1:13" x14ac:dyDescent="0.3">
      <c r="A110" t="s">
        <v>118</v>
      </c>
      <c r="B110" s="3">
        <v>45345</v>
      </c>
      <c r="C110" t="s">
        <v>313</v>
      </c>
      <c r="D110" t="s">
        <v>324</v>
      </c>
      <c r="E110" t="s">
        <v>330</v>
      </c>
      <c r="F110" t="s">
        <v>332</v>
      </c>
      <c r="G110" t="s">
        <v>340</v>
      </c>
      <c r="H110" t="s">
        <v>350</v>
      </c>
      <c r="I110">
        <v>15</v>
      </c>
      <c r="J110" s="9">
        <v>34524</v>
      </c>
      <c r="K110" s="9">
        <f t="shared" si="3"/>
        <v>517860</v>
      </c>
      <c r="L110" t="str">
        <f t="shared" si="4"/>
        <v>Feb-2024</v>
      </c>
      <c r="M110" t="str">
        <f t="shared" si="5"/>
        <v>Q1</v>
      </c>
    </row>
    <row r="111" spans="1:13" x14ac:dyDescent="0.3">
      <c r="A111" t="s">
        <v>119</v>
      </c>
      <c r="B111" s="3">
        <v>45481</v>
      </c>
      <c r="C111" t="s">
        <v>312</v>
      </c>
      <c r="D111" t="s">
        <v>317</v>
      </c>
      <c r="E111" t="s">
        <v>326</v>
      </c>
      <c r="F111" t="s">
        <v>332</v>
      </c>
      <c r="G111" t="s">
        <v>335</v>
      </c>
      <c r="H111" t="s">
        <v>344</v>
      </c>
      <c r="I111">
        <v>17</v>
      </c>
      <c r="J111" s="9">
        <v>21448</v>
      </c>
      <c r="K111" s="9">
        <f t="shared" si="3"/>
        <v>364616</v>
      </c>
      <c r="L111" t="str">
        <f t="shared" si="4"/>
        <v>Jul-2024</v>
      </c>
      <c r="M111" t="str">
        <f t="shared" si="5"/>
        <v>Q3</v>
      </c>
    </row>
    <row r="112" spans="1:13" x14ac:dyDescent="0.3">
      <c r="A112" t="s">
        <v>120</v>
      </c>
      <c r="B112" s="3">
        <v>45314</v>
      </c>
      <c r="C112" t="s">
        <v>312</v>
      </c>
      <c r="D112" t="s">
        <v>317</v>
      </c>
      <c r="E112" t="s">
        <v>329</v>
      </c>
      <c r="F112" t="s">
        <v>333</v>
      </c>
      <c r="G112" t="s">
        <v>342</v>
      </c>
      <c r="H112" t="s">
        <v>352</v>
      </c>
      <c r="I112">
        <v>18</v>
      </c>
      <c r="J112" s="9">
        <v>20755</v>
      </c>
      <c r="K112" s="9">
        <f t="shared" si="3"/>
        <v>373590</v>
      </c>
      <c r="L112" t="str">
        <f t="shared" si="4"/>
        <v>Jan-2024</v>
      </c>
      <c r="M112" t="str">
        <f t="shared" si="5"/>
        <v>Q1</v>
      </c>
    </row>
    <row r="113" spans="1:13" x14ac:dyDescent="0.3">
      <c r="A113" t="s">
        <v>121</v>
      </c>
      <c r="B113" s="3">
        <v>45458</v>
      </c>
      <c r="C113" t="s">
        <v>363</v>
      </c>
      <c r="D113" t="s">
        <v>316</v>
      </c>
      <c r="E113" t="s">
        <v>328</v>
      </c>
      <c r="F113" t="s">
        <v>333</v>
      </c>
      <c r="G113" t="s">
        <v>338</v>
      </c>
      <c r="H113" t="s">
        <v>348</v>
      </c>
      <c r="I113">
        <v>17</v>
      </c>
      <c r="J113" s="9">
        <v>764</v>
      </c>
      <c r="K113" s="9">
        <f t="shared" si="3"/>
        <v>12988</v>
      </c>
      <c r="L113" t="str">
        <f t="shared" si="4"/>
        <v>Jun-2024</v>
      </c>
      <c r="M113" t="str">
        <f t="shared" si="5"/>
        <v>Q2</v>
      </c>
    </row>
    <row r="114" spans="1:13" x14ac:dyDescent="0.3">
      <c r="A114" t="s">
        <v>122</v>
      </c>
      <c r="B114" s="3">
        <v>45459</v>
      </c>
      <c r="C114" t="s">
        <v>312</v>
      </c>
      <c r="D114" t="s">
        <v>321</v>
      </c>
      <c r="E114" t="s">
        <v>328</v>
      </c>
      <c r="F114" t="s">
        <v>333</v>
      </c>
      <c r="G114" t="s">
        <v>337</v>
      </c>
      <c r="H114" t="s">
        <v>347</v>
      </c>
      <c r="I114">
        <v>3</v>
      </c>
      <c r="J114" s="9">
        <v>29810</v>
      </c>
      <c r="K114" s="9">
        <f t="shared" si="3"/>
        <v>89430</v>
      </c>
      <c r="L114" t="str">
        <f t="shared" si="4"/>
        <v>Jun-2024</v>
      </c>
      <c r="M114" t="str">
        <f t="shared" si="5"/>
        <v>Q2</v>
      </c>
    </row>
    <row r="115" spans="1:13" x14ac:dyDescent="0.3">
      <c r="A115" t="s">
        <v>123</v>
      </c>
      <c r="B115" s="3">
        <v>45332</v>
      </c>
      <c r="C115" t="s">
        <v>313</v>
      </c>
      <c r="D115" t="s">
        <v>324</v>
      </c>
      <c r="E115" t="s">
        <v>328</v>
      </c>
      <c r="F115" t="s">
        <v>333</v>
      </c>
      <c r="G115" t="s">
        <v>338</v>
      </c>
      <c r="H115" t="s">
        <v>348</v>
      </c>
      <c r="I115">
        <v>2</v>
      </c>
      <c r="J115" s="9">
        <v>9019</v>
      </c>
      <c r="K115" s="9">
        <f t="shared" si="3"/>
        <v>18038</v>
      </c>
      <c r="L115" t="str">
        <f t="shared" si="4"/>
        <v>Feb-2024</v>
      </c>
      <c r="M115" t="str">
        <f t="shared" si="5"/>
        <v>Q1</v>
      </c>
    </row>
    <row r="116" spans="1:13" x14ac:dyDescent="0.3">
      <c r="A116" t="s">
        <v>124</v>
      </c>
      <c r="B116" s="3">
        <v>45417</v>
      </c>
      <c r="C116" t="s">
        <v>312</v>
      </c>
      <c r="D116" t="s">
        <v>325</v>
      </c>
      <c r="E116" t="s">
        <v>363</v>
      </c>
      <c r="F116" t="s">
        <v>333</v>
      </c>
      <c r="G116" t="s">
        <v>337</v>
      </c>
      <c r="H116" t="s">
        <v>347</v>
      </c>
      <c r="I116">
        <v>11</v>
      </c>
      <c r="J116" s="9">
        <v>23896</v>
      </c>
      <c r="K116" s="9">
        <f t="shared" si="3"/>
        <v>262856</v>
      </c>
      <c r="L116" t="str">
        <f t="shared" si="4"/>
        <v>May-2024</v>
      </c>
      <c r="M116" t="str">
        <f t="shared" si="5"/>
        <v>Q2</v>
      </c>
    </row>
    <row r="117" spans="1:13" x14ac:dyDescent="0.3">
      <c r="A117" t="s">
        <v>125</v>
      </c>
      <c r="B117" s="3">
        <v>45564</v>
      </c>
      <c r="C117" t="s">
        <v>313</v>
      </c>
      <c r="D117" t="s">
        <v>324</v>
      </c>
      <c r="E117" t="s">
        <v>328</v>
      </c>
      <c r="F117" t="s">
        <v>333</v>
      </c>
      <c r="G117" t="s">
        <v>338</v>
      </c>
      <c r="H117" t="s">
        <v>348</v>
      </c>
      <c r="I117">
        <v>6</v>
      </c>
      <c r="J117" s="9">
        <v>2105</v>
      </c>
      <c r="K117" s="9">
        <f t="shared" si="3"/>
        <v>12630</v>
      </c>
      <c r="L117" t="str">
        <f t="shared" si="4"/>
        <v>Sep-2024</v>
      </c>
      <c r="M117" t="str">
        <f t="shared" si="5"/>
        <v>Q3</v>
      </c>
    </row>
    <row r="118" spans="1:13" x14ac:dyDescent="0.3">
      <c r="A118" t="s">
        <v>126</v>
      </c>
      <c r="B118" s="3">
        <v>45349</v>
      </c>
      <c r="C118" t="s">
        <v>310</v>
      </c>
      <c r="D118" t="s">
        <v>320</v>
      </c>
      <c r="E118" t="s">
        <v>330</v>
      </c>
      <c r="F118" t="s">
        <v>332</v>
      </c>
      <c r="G118" t="s">
        <v>335</v>
      </c>
      <c r="H118" t="s">
        <v>344</v>
      </c>
      <c r="I118">
        <v>14</v>
      </c>
      <c r="J118" s="9">
        <v>47907</v>
      </c>
      <c r="K118" s="9">
        <f t="shared" si="3"/>
        <v>670698</v>
      </c>
      <c r="L118" t="str">
        <f t="shared" si="4"/>
        <v>Feb-2024</v>
      </c>
      <c r="M118" t="str">
        <f t="shared" si="5"/>
        <v>Q1</v>
      </c>
    </row>
    <row r="119" spans="1:13" x14ac:dyDescent="0.3">
      <c r="A119" t="s">
        <v>127</v>
      </c>
      <c r="B119" s="3">
        <v>45657</v>
      </c>
      <c r="C119" t="s">
        <v>312</v>
      </c>
      <c r="D119" t="s">
        <v>321</v>
      </c>
      <c r="E119" t="s">
        <v>327</v>
      </c>
      <c r="F119" t="s">
        <v>332</v>
      </c>
      <c r="G119" t="s">
        <v>336</v>
      </c>
      <c r="H119" t="s">
        <v>346</v>
      </c>
      <c r="I119">
        <v>7</v>
      </c>
      <c r="J119" s="9">
        <v>17350</v>
      </c>
      <c r="K119" s="9">
        <f t="shared" si="3"/>
        <v>121450</v>
      </c>
      <c r="L119" t="str">
        <f t="shared" si="4"/>
        <v>Dec-2024</v>
      </c>
      <c r="M119" t="str">
        <f t="shared" si="5"/>
        <v>Q4</v>
      </c>
    </row>
    <row r="120" spans="1:13" x14ac:dyDescent="0.3">
      <c r="A120" t="s">
        <v>128</v>
      </c>
      <c r="B120" s="3">
        <v>45329</v>
      </c>
      <c r="C120" t="s">
        <v>312</v>
      </c>
      <c r="D120" t="s">
        <v>325</v>
      </c>
      <c r="E120" t="s">
        <v>330</v>
      </c>
      <c r="F120" t="s">
        <v>332</v>
      </c>
      <c r="G120" t="s">
        <v>336</v>
      </c>
      <c r="H120" t="s">
        <v>346</v>
      </c>
      <c r="I120">
        <v>6</v>
      </c>
      <c r="J120" s="9">
        <v>33720</v>
      </c>
      <c r="K120" s="9">
        <f t="shared" si="3"/>
        <v>202320</v>
      </c>
      <c r="L120" t="str">
        <f t="shared" si="4"/>
        <v>Feb-2024</v>
      </c>
      <c r="M120" t="str">
        <f t="shared" si="5"/>
        <v>Q1</v>
      </c>
    </row>
    <row r="121" spans="1:13" x14ac:dyDescent="0.3">
      <c r="A121" t="s">
        <v>129</v>
      </c>
      <c r="B121" s="3">
        <v>45655</v>
      </c>
      <c r="C121" t="s">
        <v>311</v>
      </c>
      <c r="D121" t="s">
        <v>315</v>
      </c>
      <c r="E121" t="s">
        <v>329</v>
      </c>
      <c r="F121" t="s">
        <v>332</v>
      </c>
      <c r="G121" t="s">
        <v>340</v>
      </c>
      <c r="H121" t="s">
        <v>350</v>
      </c>
      <c r="I121">
        <v>8</v>
      </c>
      <c r="J121" s="9">
        <v>13332</v>
      </c>
      <c r="K121" s="9">
        <f t="shared" si="3"/>
        <v>106656</v>
      </c>
      <c r="L121" t="str">
        <f t="shared" si="4"/>
        <v>Dec-2024</v>
      </c>
      <c r="M121" t="str">
        <f t="shared" si="5"/>
        <v>Q4</v>
      </c>
    </row>
    <row r="122" spans="1:13" x14ac:dyDescent="0.3">
      <c r="A122" t="s">
        <v>130</v>
      </c>
      <c r="B122" s="3">
        <v>45570</v>
      </c>
      <c r="C122" t="s">
        <v>311</v>
      </c>
      <c r="D122" t="s">
        <v>315</v>
      </c>
      <c r="E122" t="s">
        <v>330</v>
      </c>
      <c r="F122" t="s">
        <v>333</v>
      </c>
      <c r="G122" t="s">
        <v>338</v>
      </c>
      <c r="H122" t="s">
        <v>348</v>
      </c>
      <c r="I122">
        <v>16</v>
      </c>
      <c r="J122" s="9">
        <v>47767</v>
      </c>
      <c r="K122" s="9">
        <f t="shared" si="3"/>
        <v>764272</v>
      </c>
      <c r="L122" t="str">
        <f t="shared" si="4"/>
        <v>Oct-2024</v>
      </c>
      <c r="M122" t="str">
        <f t="shared" si="5"/>
        <v>Q4</v>
      </c>
    </row>
    <row r="123" spans="1:13" x14ac:dyDescent="0.3">
      <c r="A123" t="s">
        <v>131</v>
      </c>
      <c r="B123" s="3">
        <v>45564</v>
      </c>
      <c r="C123" t="s">
        <v>312</v>
      </c>
      <c r="D123" t="s">
        <v>317</v>
      </c>
      <c r="E123" t="s">
        <v>326</v>
      </c>
      <c r="F123" t="s">
        <v>333</v>
      </c>
      <c r="G123" t="s">
        <v>342</v>
      </c>
      <c r="H123" t="s">
        <v>352</v>
      </c>
      <c r="I123">
        <v>17</v>
      </c>
      <c r="J123" s="9">
        <v>32121</v>
      </c>
      <c r="K123" s="9">
        <f t="shared" si="3"/>
        <v>546057</v>
      </c>
      <c r="L123" t="str">
        <f t="shared" si="4"/>
        <v>Sep-2024</v>
      </c>
      <c r="M123" t="str">
        <f t="shared" si="5"/>
        <v>Q3</v>
      </c>
    </row>
    <row r="124" spans="1:13" x14ac:dyDescent="0.3">
      <c r="A124" t="s">
        <v>132</v>
      </c>
      <c r="B124" s="3">
        <v>45312</v>
      </c>
      <c r="C124" t="s">
        <v>312</v>
      </c>
      <c r="D124" t="s">
        <v>317</v>
      </c>
      <c r="E124" t="s">
        <v>329</v>
      </c>
      <c r="F124" t="s">
        <v>332</v>
      </c>
      <c r="G124" t="s">
        <v>336</v>
      </c>
      <c r="H124" t="s">
        <v>346</v>
      </c>
      <c r="I124">
        <v>15</v>
      </c>
      <c r="J124" s="9">
        <v>619</v>
      </c>
      <c r="K124" s="9">
        <f t="shared" si="3"/>
        <v>9285</v>
      </c>
      <c r="L124" t="str">
        <f t="shared" si="4"/>
        <v>Jan-2024</v>
      </c>
      <c r="M124" t="str">
        <f t="shared" si="5"/>
        <v>Q1</v>
      </c>
    </row>
    <row r="125" spans="1:13" x14ac:dyDescent="0.3">
      <c r="A125" t="s">
        <v>133</v>
      </c>
      <c r="B125" s="3">
        <v>45568</v>
      </c>
      <c r="C125" t="s">
        <v>363</v>
      </c>
      <c r="D125" t="s">
        <v>320</v>
      </c>
      <c r="E125" t="s">
        <v>327</v>
      </c>
      <c r="F125" t="s">
        <v>332</v>
      </c>
      <c r="G125" t="s">
        <v>336</v>
      </c>
      <c r="H125" t="s">
        <v>346</v>
      </c>
      <c r="I125">
        <v>10</v>
      </c>
      <c r="J125" s="9">
        <v>33786</v>
      </c>
      <c r="K125" s="9">
        <f t="shared" si="3"/>
        <v>337860</v>
      </c>
      <c r="L125" t="str">
        <f t="shared" si="4"/>
        <v>Oct-2024</v>
      </c>
      <c r="M125" t="str">
        <f t="shared" si="5"/>
        <v>Q4</v>
      </c>
    </row>
    <row r="126" spans="1:13" x14ac:dyDescent="0.3">
      <c r="A126" t="s">
        <v>134</v>
      </c>
      <c r="B126" s="3">
        <v>45561</v>
      </c>
      <c r="C126" t="s">
        <v>313</v>
      </c>
      <c r="D126" t="s">
        <v>319</v>
      </c>
      <c r="E126" t="s">
        <v>326</v>
      </c>
      <c r="F126" t="s">
        <v>332</v>
      </c>
      <c r="G126" t="s">
        <v>336</v>
      </c>
      <c r="H126" t="s">
        <v>346</v>
      </c>
      <c r="I126">
        <v>18</v>
      </c>
      <c r="J126" s="9">
        <v>34138</v>
      </c>
      <c r="K126" s="9">
        <f t="shared" si="3"/>
        <v>614484</v>
      </c>
      <c r="L126" t="str">
        <f t="shared" si="4"/>
        <v>Sep-2024</v>
      </c>
      <c r="M126" t="str">
        <f t="shared" si="5"/>
        <v>Q3</v>
      </c>
    </row>
    <row r="127" spans="1:13" x14ac:dyDescent="0.3">
      <c r="A127" t="s">
        <v>135</v>
      </c>
      <c r="B127" s="3">
        <v>45523</v>
      </c>
      <c r="C127" t="s">
        <v>363</v>
      </c>
      <c r="D127" t="s">
        <v>318</v>
      </c>
      <c r="E127" t="s">
        <v>329</v>
      </c>
      <c r="F127" t="s">
        <v>332</v>
      </c>
      <c r="G127" t="s">
        <v>336</v>
      </c>
      <c r="H127" t="s">
        <v>346</v>
      </c>
      <c r="I127">
        <v>5</v>
      </c>
      <c r="J127" s="9">
        <v>33382</v>
      </c>
      <c r="K127" s="9">
        <f t="shared" si="3"/>
        <v>166910</v>
      </c>
      <c r="L127" t="str">
        <f t="shared" si="4"/>
        <v>Aug-2024</v>
      </c>
      <c r="M127" t="str">
        <f t="shared" si="5"/>
        <v>Q3</v>
      </c>
    </row>
    <row r="128" spans="1:13" x14ac:dyDescent="0.3">
      <c r="A128" t="s">
        <v>136</v>
      </c>
      <c r="B128" s="3">
        <v>45421</v>
      </c>
      <c r="C128" t="s">
        <v>311</v>
      </c>
      <c r="D128" t="s">
        <v>318</v>
      </c>
      <c r="E128" t="s">
        <v>327</v>
      </c>
      <c r="F128" t="s">
        <v>331</v>
      </c>
      <c r="G128" t="s">
        <v>341</v>
      </c>
      <c r="H128" t="s">
        <v>358</v>
      </c>
      <c r="I128">
        <v>14</v>
      </c>
      <c r="J128" s="9">
        <v>48443</v>
      </c>
      <c r="K128" s="9">
        <f t="shared" si="3"/>
        <v>678202</v>
      </c>
      <c r="L128" t="str">
        <f t="shared" si="4"/>
        <v>May-2024</v>
      </c>
      <c r="M128" t="str">
        <f t="shared" si="5"/>
        <v>Q2</v>
      </c>
    </row>
    <row r="129" spans="1:13" x14ac:dyDescent="0.3">
      <c r="A129" t="s">
        <v>137</v>
      </c>
      <c r="B129" s="3">
        <v>45629</v>
      </c>
      <c r="C129" t="s">
        <v>312</v>
      </c>
      <c r="D129" t="s">
        <v>317</v>
      </c>
      <c r="E129" t="s">
        <v>327</v>
      </c>
      <c r="F129" t="s">
        <v>333</v>
      </c>
      <c r="G129" t="s">
        <v>338</v>
      </c>
      <c r="H129" t="s">
        <v>348</v>
      </c>
      <c r="I129">
        <v>3</v>
      </c>
      <c r="J129" s="9">
        <v>6100</v>
      </c>
      <c r="K129" s="9">
        <f t="shared" si="3"/>
        <v>18300</v>
      </c>
      <c r="L129" t="str">
        <f t="shared" si="4"/>
        <v>Dec-2024</v>
      </c>
      <c r="M129" t="str">
        <f t="shared" si="5"/>
        <v>Q4</v>
      </c>
    </row>
    <row r="130" spans="1:13" x14ac:dyDescent="0.3">
      <c r="A130" t="s">
        <v>138</v>
      </c>
      <c r="B130" s="3">
        <v>45482</v>
      </c>
      <c r="C130" t="s">
        <v>312</v>
      </c>
      <c r="D130" t="s">
        <v>317</v>
      </c>
      <c r="E130" t="s">
        <v>326</v>
      </c>
      <c r="F130" t="s">
        <v>333</v>
      </c>
      <c r="G130" t="s">
        <v>338</v>
      </c>
      <c r="H130" t="s">
        <v>348</v>
      </c>
      <c r="I130">
        <v>11</v>
      </c>
      <c r="J130" s="9">
        <v>25658</v>
      </c>
      <c r="K130" s="9">
        <f t="shared" si="3"/>
        <v>282238</v>
      </c>
      <c r="L130" t="str">
        <f t="shared" si="4"/>
        <v>Jul-2024</v>
      </c>
      <c r="M130" t="str">
        <f t="shared" si="5"/>
        <v>Q3</v>
      </c>
    </row>
    <row r="131" spans="1:13" x14ac:dyDescent="0.3">
      <c r="A131" t="s">
        <v>139</v>
      </c>
      <c r="B131" s="3">
        <v>45504</v>
      </c>
      <c r="C131" t="s">
        <v>311</v>
      </c>
      <c r="D131" t="s">
        <v>315</v>
      </c>
      <c r="E131" t="s">
        <v>330</v>
      </c>
      <c r="F131" t="s">
        <v>333</v>
      </c>
      <c r="G131" t="s">
        <v>338</v>
      </c>
      <c r="H131" t="s">
        <v>354</v>
      </c>
      <c r="I131">
        <v>1</v>
      </c>
      <c r="J131" s="9">
        <v>11477</v>
      </c>
      <c r="K131" s="9">
        <f t="shared" ref="K131:K194" si="6">I131*J131</f>
        <v>11477</v>
      </c>
      <c r="L131" t="str">
        <f t="shared" ref="L131:L194" si="7">TEXT(B131,"MMM-YYYY")</f>
        <v>Jul-2024</v>
      </c>
      <c r="M131" t="str">
        <f t="shared" ref="M131:M194" si="8">IF(MONTH(L131)&lt;=3,"Q1",IF(MONTH(L131)&lt;=6,"Q2",IF(MONTH(L131)&lt;=9,"Q3","Q4")))</f>
        <v>Q3</v>
      </c>
    </row>
    <row r="132" spans="1:13" x14ac:dyDescent="0.3">
      <c r="A132" t="s">
        <v>140</v>
      </c>
      <c r="B132" s="3">
        <v>45503</v>
      </c>
      <c r="C132" t="s">
        <v>313</v>
      </c>
      <c r="D132" t="s">
        <v>324</v>
      </c>
      <c r="E132" t="s">
        <v>329</v>
      </c>
      <c r="F132" t="s">
        <v>331</v>
      </c>
      <c r="G132" t="s">
        <v>341</v>
      </c>
      <c r="H132" t="s">
        <v>351</v>
      </c>
      <c r="I132">
        <v>17</v>
      </c>
      <c r="J132" s="9">
        <v>19026</v>
      </c>
      <c r="K132" s="9">
        <f t="shared" si="6"/>
        <v>323442</v>
      </c>
      <c r="L132" t="str">
        <f t="shared" si="7"/>
        <v>Jul-2024</v>
      </c>
      <c r="M132" t="str">
        <f t="shared" si="8"/>
        <v>Q3</v>
      </c>
    </row>
    <row r="133" spans="1:13" x14ac:dyDescent="0.3">
      <c r="A133" t="s">
        <v>141</v>
      </c>
      <c r="B133" s="3">
        <v>45540</v>
      </c>
      <c r="C133" t="s">
        <v>311</v>
      </c>
      <c r="D133" t="s">
        <v>318</v>
      </c>
      <c r="E133" t="s">
        <v>330</v>
      </c>
      <c r="F133" t="s">
        <v>333</v>
      </c>
      <c r="G133" t="s">
        <v>338</v>
      </c>
      <c r="H133" t="s">
        <v>348</v>
      </c>
      <c r="I133">
        <v>16</v>
      </c>
      <c r="J133" s="9">
        <v>26539</v>
      </c>
      <c r="K133" s="9">
        <f t="shared" si="6"/>
        <v>424624</v>
      </c>
      <c r="L133" t="str">
        <f t="shared" si="7"/>
        <v>Sep-2024</v>
      </c>
      <c r="M133" t="str">
        <f t="shared" si="8"/>
        <v>Q3</v>
      </c>
    </row>
    <row r="134" spans="1:13" x14ac:dyDescent="0.3">
      <c r="A134" t="s">
        <v>142</v>
      </c>
      <c r="B134" s="3">
        <v>45368</v>
      </c>
      <c r="C134" t="s">
        <v>311</v>
      </c>
      <c r="D134" t="s">
        <v>315</v>
      </c>
      <c r="E134" t="s">
        <v>330</v>
      </c>
      <c r="F134" t="s">
        <v>331</v>
      </c>
      <c r="G134" t="s">
        <v>339</v>
      </c>
      <c r="H134" t="s">
        <v>357</v>
      </c>
      <c r="I134">
        <v>1</v>
      </c>
      <c r="J134" s="9">
        <v>6967</v>
      </c>
      <c r="K134" s="9">
        <f t="shared" si="6"/>
        <v>6967</v>
      </c>
      <c r="L134" t="str">
        <f t="shared" si="7"/>
        <v>Mar-2024</v>
      </c>
      <c r="M134" t="str">
        <f t="shared" si="8"/>
        <v>Q1</v>
      </c>
    </row>
    <row r="135" spans="1:13" x14ac:dyDescent="0.3">
      <c r="A135" t="s">
        <v>143</v>
      </c>
      <c r="B135" s="3">
        <v>45624</v>
      </c>
      <c r="C135" t="s">
        <v>313</v>
      </c>
      <c r="D135" t="s">
        <v>323</v>
      </c>
      <c r="E135" t="s">
        <v>330</v>
      </c>
      <c r="F135" t="s">
        <v>333</v>
      </c>
      <c r="G135" t="s">
        <v>342</v>
      </c>
      <c r="H135" t="s">
        <v>355</v>
      </c>
      <c r="I135">
        <v>1</v>
      </c>
      <c r="J135" s="9">
        <v>6043</v>
      </c>
      <c r="K135" s="9">
        <f t="shared" si="6"/>
        <v>6043</v>
      </c>
      <c r="L135" t="str">
        <f t="shared" si="7"/>
        <v>Nov-2024</v>
      </c>
      <c r="M135" t="str">
        <f t="shared" si="8"/>
        <v>Q4</v>
      </c>
    </row>
    <row r="136" spans="1:13" x14ac:dyDescent="0.3">
      <c r="A136" t="s">
        <v>144</v>
      </c>
      <c r="B136" s="3">
        <v>45565</v>
      </c>
      <c r="C136" t="s">
        <v>311</v>
      </c>
      <c r="D136" t="s">
        <v>318</v>
      </c>
      <c r="E136" t="s">
        <v>326</v>
      </c>
      <c r="F136" t="s">
        <v>331</v>
      </c>
      <c r="G136" t="s">
        <v>341</v>
      </c>
      <c r="H136" t="s">
        <v>358</v>
      </c>
      <c r="I136">
        <v>12</v>
      </c>
      <c r="J136" s="9">
        <v>3282</v>
      </c>
      <c r="K136" s="9">
        <f t="shared" si="6"/>
        <v>39384</v>
      </c>
      <c r="L136" t="str">
        <f t="shared" si="7"/>
        <v>Sep-2024</v>
      </c>
      <c r="M136" t="str">
        <f t="shared" si="8"/>
        <v>Q3</v>
      </c>
    </row>
    <row r="137" spans="1:13" x14ac:dyDescent="0.3">
      <c r="A137" t="s">
        <v>145</v>
      </c>
      <c r="B137" s="3">
        <v>45635</v>
      </c>
      <c r="C137" t="s">
        <v>312</v>
      </c>
      <c r="D137" t="s">
        <v>325</v>
      </c>
      <c r="E137" t="s">
        <v>327</v>
      </c>
      <c r="F137" t="s">
        <v>332</v>
      </c>
      <c r="G137" t="s">
        <v>336</v>
      </c>
      <c r="H137" t="s">
        <v>346</v>
      </c>
      <c r="I137">
        <v>9</v>
      </c>
      <c r="J137" s="9">
        <v>45062</v>
      </c>
      <c r="K137" s="9">
        <f t="shared" si="6"/>
        <v>405558</v>
      </c>
      <c r="L137" t="str">
        <f t="shared" si="7"/>
        <v>Dec-2024</v>
      </c>
      <c r="M137" t="str">
        <f t="shared" si="8"/>
        <v>Q4</v>
      </c>
    </row>
    <row r="138" spans="1:13" x14ac:dyDescent="0.3">
      <c r="A138" t="s">
        <v>146</v>
      </c>
      <c r="B138" s="3">
        <v>45401</v>
      </c>
      <c r="C138" t="s">
        <v>313</v>
      </c>
      <c r="D138" t="s">
        <v>323</v>
      </c>
      <c r="E138" t="s">
        <v>327</v>
      </c>
      <c r="F138" t="s">
        <v>333</v>
      </c>
      <c r="G138" t="s">
        <v>337</v>
      </c>
      <c r="H138" t="s">
        <v>347</v>
      </c>
      <c r="I138">
        <v>13</v>
      </c>
      <c r="J138" s="9">
        <v>8312</v>
      </c>
      <c r="K138" s="9">
        <f t="shared" si="6"/>
        <v>108056</v>
      </c>
      <c r="L138" t="str">
        <f t="shared" si="7"/>
        <v>Apr-2024</v>
      </c>
      <c r="M138" t="str">
        <f t="shared" si="8"/>
        <v>Q2</v>
      </c>
    </row>
    <row r="139" spans="1:13" x14ac:dyDescent="0.3">
      <c r="A139" t="s">
        <v>147</v>
      </c>
      <c r="B139" s="3">
        <v>45493</v>
      </c>
      <c r="C139" t="s">
        <v>311</v>
      </c>
      <c r="D139" t="s">
        <v>316</v>
      </c>
      <c r="E139" t="s">
        <v>327</v>
      </c>
      <c r="F139" t="s">
        <v>332</v>
      </c>
      <c r="G139" t="s">
        <v>336</v>
      </c>
      <c r="H139" t="s">
        <v>346</v>
      </c>
      <c r="I139">
        <v>20</v>
      </c>
      <c r="J139" s="9">
        <v>31604</v>
      </c>
      <c r="K139" s="9">
        <f t="shared" si="6"/>
        <v>632080</v>
      </c>
      <c r="L139" t="str">
        <f t="shared" si="7"/>
        <v>Jul-2024</v>
      </c>
      <c r="M139" t="str">
        <f t="shared" si="8"/>
        <v>Q3</v>
      </c>
    </row>
    <row r="140" spans="1:13" x14ac:dyDescent="0.3">
      <c r="A140" t="s">
        <v>148</v>
      </c>
      <c r="B140" s="3">
        <v>45377</v>
      </c>
      <c r="C140" t="s">
        <v>312</v>
      </c>
      <c r="D140" t="s">
        <v>321</v>
      </c>
      <c r="E140" t="s">
        <v>328</v>
      </c>
      <c r="F140" t="s">
        <v>333</v>
      </c>
      <c r="G140" t="s">
        <v>337</v>
      </c>
      <c r="H140" t="s">
        <v>347</v>
      </c>
      <c r="I140">
        <v>9</v>
      </c>
      <c r="J140" s="9">
        <v>27502</v>
      </c>
      <c r="K140" s="9">
        <f t="shared" si="6"/>
        <v>247518</v>
      </c>
      <c r="L140" t="str">
        <f t="shared" si="7"/>
        <v>Mar-2024</v>
      </c>
      <c r="M140" t="str">
        <f t="shared" si="8"/>
        <v>Q1</v>
      </c>
    </row>
    <row r="141" spans="1:13" x14ac:dyDescent="0.3">
      <c r="A141" t="s">
        <v>149</v>
      </c>
      <c r="B141" s="3">
        <v>45611</v>
      </c>
      <c r="C141" t="s">
        <v>313</v>
      </c>
      <c r="D141" t="s">
        <v>324</v>
      </c>
      <c r="E141" t="s">
        <v>329</v>
      </c>
      <c r="F141" t="s">
        <v>332</v>
      </c>
      <c r="G141" t="s">
        <v>336</v>
      </c>
      <c r="H141" t="s">
        <v>346</v>
      </c>
      <c r="I141">
        <v>16</v>
      </c>
      <c r="J141" s="9">
        <v>6940</v>
      </c>
      <c r="K141" s="9">
        <f t="shared" si="6"/>
        <v>111040</v>
      </c>
      <c r="L141" t="str">
        <f t="shared" si="7"/>
        <v>Nov-2024</v>
      </c>
      <c r="M141" t="str">
        <f t="shared" si="8"/>
        <v>Q4</v>
      </c>
    </row>
    <row r="142" spans="1:13" x14ac:dyDescent="0.3">
      <c r="A142" t="s">
        <v>150</v>
      </c>
      <c r="B142" s="3">
        <v>45320</v>
      </c>
      <c r="C142" t="s">
        <v>312</v>
      </c>
      <c r="D142" t="s">
        <v>325</v>
      </c>
      <c r="E142" t="s">
        <v>328</v>
      </c>
      <c r="F142" t="s">
        <v>332</v>
      </c>
      <c r="G142" t="s">
        <v>340</v>
      </c>
      <c r="H142" t="s">
        <v>350</v>
      </c>
      <c r="I142">
        <v>15</v>
      </c>
      <c r="J142" s="9">
        <v>19851</v>
      </c>
      <c r="K142" s="9">
        <f t="shared" si="6"/>
        <v>297765</v>
      </c>
      <c r="L142" t="str">
        <f t="shared" si="7"/>
        <v>Jan-2024</v>
      </c>
      <c r="M142" t="str">
        <f t="shared" si="8"/>
        <v>Q1</v>
      </c>
    </row>
    <row r="143" spans="1:13" x14ac:dyDescent="0.3">
      <c r="A143" t="s">
        <v>151</v>
      </c>
      <c r="B143" s="3">
        <v>45653</v>
      </c>
      <c r="C143" t="s">
        <v>312</v>
      </c>
      <c r="D143" t="s">
        <v>321</v>
      </c>
      <c r="E143" t="s">
        <v>330</v>
      </c>
      <c r="F143" t="s">
        <v>332</v>
      </c>
      <c r="G143" t="s">
        <v>340</v>
      </c>
      <c r="H143" t="s">
        <v>350</v>
      </c>
      <c r="I143">
        <v>14</v>
      </c>
      <c r="J143" s="9">
        <v>9921</v>
      </c>
      <c r="K143" s="9">
        <f t="shared" si="6"/>
        <v>138894</v>
      </c>
      <c r="L143" t="str">
        <f t="shared" si="7"/>
        <v>Dec-2024</v>
      </c>
      <c r="M143" t="str">
        <f t="shared" si="8"/>
        <v>Q4</v>
      </c>
    </row>
    <row r="144" spans="1:13" x14ac:dyDescent="0.3">
      <c r="A144" t="s">
        <v>152</v>
      </c>
      <c r="B144" s="3">
        <v>45614</v>
      </c>
      <c r="C144" t="s">
        <v>310</v>
      </c>
      <c r="D144" t="s">
        <v>320</v>
      </c>
      <c r="E144" t="s">
        <v>328</v>
      </c>
      <c r="F144" t="s">
        <v>331</v>
      </c>
      <c r="G144" t="s">
        <v>334</v>
      </c>
      <c r="H144" t="s">
        <v>359</v>
      </c>
      <c r="I144">
        <v>2</v>
      </c>
      <c r="J144" s="9">
        <v>35116</v>
      </c>
      <c r="K144" s="9">
        <f t="shared" si="6"/>
        <v>70232</v>
      </c>
      <c r="L144" t="str">
        <f t="shared" si="7"/>
        <v>Nov-2024</v>
      </c>
      <c r="M144" t="str">
        <f t="shared" si="8"/>
        <v>Q4</v>
      </c>
    </row>
    <row r="145" spans="1:13" x14ac:dyDescent="0.3">
      <c r="A145" t="s">
        <v>153</v>
      </c>
      <c r="B145" s="3">
        <v>45648</v>
      </c>
      <c r="C145" t="s">
        <v>310</v>
      </c>
      <c r="D145" t="s">
        <v>320</v>
      </c>
      <c r="E145" t="s">
        <v>329</v>
      </c>
      <c r="F145" t="s">
        <v>333</v>
      </c>
      <c r="G145" t="s">
        <v>338</v>
      </c>
      <c r="H145" t="s">
        <v>348</v>
      </c>
      <c r="I145">
        <v>9</v>
      </c>
      <c r="J145" s="9">
        <v>32399</v>
      </c>
      <c r="K145" s="9">
        <f t="shared" si="6"/>
        <v>291591</v>
      </c>
      <c r="L145" t="str">
        <f t="shared" si="7"/>
        <v>Dec-2024</v>
      </c>
      <c r="M145" t="str">
        <f t="shared" si="8"/>
        <v>Q4</v>
      </c>
    </row>
    <row r="146" spans="1:13" x14ac:dyDescent="0.3">
      <c r="A146" t="s">
        <v>154</v>
      </c>
      <c r="B146" s="3">
        <v>45415</v>
      </c>
      <c r="C146" t="s">
        <v>310</v>
      </c>
      <c r="D146" t="s">
        <v>320</v>
      </c>
      <c r="E146" t="s">
        <v>329</v>
      </c>
      <c r="F146" t="s">
        <v>333</v>
      </c>
      <c r="G146" t="s">
        <v>337</v>
      </c>
      <c r="H146" t="s">
        <v>347</v>
      </c>
      <c r="I146">
        <v>6</v>
      </c>
      <c r="J146" s="9">
        <v>39897</v>
      </c>
      <c r="K146" s="9">
        <f t="shared" si="6"/>
        <v>239382</v>
      </c>
      <c r="L146" t="str">
        <f t="shared" si="7"/>
        <v>May-2024</v>
      </c>
      <c r="M146" t="str">
        <f t="shared" si="8"/>
        <v>Q2</v>
      </c>
    </row>
    <row r="147" spans="1:13" x14ac:dyDescent="0.3">
      <c r="A147" t="s">
        <v>155</v>
      </c>
      <c r="B147" s="3">
        <v>45565</v>
      </c>
      <c r="C147" t="s">
        <v>310</v>
      </c>
      <c r="D147" t="s">
        <v>314</v>
      </c>
      <c r="E147" t="s">
        <v>330</v>
      </c>
      <c r="F147" t="s">
        <v>332</v>
      </c>
      <c r="G147" t="s">
        <v>336</v>
      </c>
      <c r="H147" t="s">
        <v>346</v>
      </c>
      <c r="I147">
        <v>2</v>
      </c>
      <c r="J147" s="9">
        <v>33226</v>
      </c>
      <c r="K147" s="9">
        <f t="shared" si="6"/>
        <v>66452</v>
      </c>
      <c r="L147" t="str">
        <f t="shared" si="7"/>
        <v>Sep-2024</v>
      </c>
      <c r="M147" t="str">
        <f t="shared" si="8"/>
        <v>Q3</v>
      </c>
    </row>
    <row r="148" spans="1:13" x14ac:dyDescent="0.3">
      <c r="A148" t="s">
        <v>156</v>
      </c>
      <c r="B148" s="3">
        <v>45453</v>
      </c>
      <c r="C148" t="s">
        <v>313</v>
      </c>
      <c r="D148" t="s">
        <v>319</v>
      </c>
      <c r="E148" t="s">
        <v>328</v>
      </c>
      <c r="F148" t="s">
        <v>332</v>
      </c>
      <c r="G148" t="s">
        <v>335</v>
      </c>
      <c r="H148" t="s">
        <v>344</v>
      </c>
      <c r="I148">
        <v>16</v>
      </c>
      <c r="J148" s="9">
        <v>31683</v>
      </c>
      <c r="K148" s="9">
        <f t="shared" si="6"/>
        <v>506928</v>
      </c>
      <c r="L148" t="str">
        <f t="shared" si="7"/>
        <v>Jun-2024</v>
      </c>
      <c r="M148" t="str">
        <f t="shared" si="8"/>
        <v>Q2</v>
      </c>
    </row>
    <row r="149" spans="1:13" x14ac:dyDescent="0.3">
      <c r="A149" t="s">
        <v>157</v>
      </c>
      <c r="B149" s="3">
        <v>45423</v>
      </c>
      <c r="C149" t="s">
        <v>313</v>
      </c>
      <c r="D149" t="s">
        <v>323</v>
      </c>
      <c r="E149" t="s">
        <v>363</v>
      </c>
      <c r="F149" t="s">
        <v>331</v>
      </c>
      <c r="G149" t="s">
        <v>339</v>
      </c>
      <c r="H149" t="s">
        <v>349</v>
      </c>
      <c r="I149">
        <v>3</v>
      </c>
      <c r="J149" s="9">
        <v>41832</v>
      </c>
      <c r="K149" s="9">
        <f t="shared" si="6"/>
        <v>125496</v>
      </c>
      <c r="L149" t="str">
        <f t="shared" si="7"/>
        <v>May-2024</v>
      </c>
      <c r="M149" t="str">
        <f t="shared" si="8"/>
        <v>Q2</v>
      </c>
    </row>
    <row r="150" spans="1:13" x14ac:dyDescent="0.3">
      <c r="A150" t="s">
        <v>158</v>
      </c>
      <c r="B150" s="3">
        <v>45407</v>
      </c>
      <c r="C150" t="s">
        <v>312</v>
      </c>
      <c r="D150" t="s">
        <v>325</v>
      </c>
      <c r="E150" t="s">
        <v>328</v>
      </c>
      <c r="F150" t="s">
        <v>331</v>
      </c>
      <c r="G150" t="s">
        <v>341</v>
      </c>
      <c r="H150" t="s">
        <v>358</v>
      </c>
      <c r="I150">
        <v>7</v>
      </c>
      <c r="J150" s="9">
        <v>33165</v>
      </c>
      <c r="K150" s="9">
        <f t="shared" si="6"/>
        <v>232155</v>
      </c>
      <c r="L150" t="str">
        <f t="shared" si="7"/>
        <v>Apr-2024</v>
      </c>
      <c r="M150" t="str">
        <f t="shared" si="8"/>
        <v>Q2</v>
      </c>
    </row>
    <row r="151" spans="1:13" x14ac:dyDescent="0.3">
      <c r="A151" t="s">
        <v>159</v>
      </c>
      <c r="B151" s="3">
        <v>45448</v>
      </c>
      <c r="C151" t="s">
        <v>313</v>
      </c>
      <c r="D151" t="s">
        <v>324</v>
      </c>
      <c r="E151" t="s">
        <v>328</v>
      </c>
      <c r="F151" t="s">
        <v>333</v>
      </c>
      <c r="G151" t="s">
        <v>342</v>
      </c>
      <c r="H151" t="s">
        <v>352</v>
      </c>
      <c r="I151">
        <v>8</v>
      </c>
      <c r="J151" s="9">
        <v>5742</v>
      </c>
      <c r="K151" s="9">
        <f t="shared" si="6"/>
        <v>45936</v>
      </c>
      <c r="L151" t="str">
        <f t="shared" si="7"/>
        <v>Jun-2024</v>
      </c>
      <c r="M151" t="str">
        <f t="shared" si="8"/>
        <v>Q2</v>
      </c>
    </row>
    <row r="152" spans="1:13" x14ac:dyDescent="0.3">
      <c r="A152" t="s">
        <v>160</v>
      </c>
      <c r="B152" s="3">
        <v>45429</v>
      </c>
      <c r="C152" t="s">
        <v>310</v>
      </c>
      <c r="D152" t="s">
        <v>320</v>
      </c>
      <c r="E152" t="s">
        <v>328</v>
      </c>
      <c r="F152" t="s">
        <v>332</v>
      </c>
      <c r="G152" t="s">
        <v>336</v>
      </c>
      <c r="H152" t="s">
        <v>346</v>
      </c>
      <c r="I152">
        <v>17</v>
      </c>
      <c r="J152" s="9">
        <v>25056</v>
      </c>
      <c r="K152" s="9">
        <f t="shared" si="6"/>
        <v>425952</v>
      </c>
      <c r="L152" t="str">
        <f t="shared" si="7"/>
        <v>May-2024</v>
      </c>
      <c r="M152" t="str">
        <f t="shared" si="8"/>
        <v>Q2</v>
      </c>
    </row>
    <row r="153" spans="1:13" x14ac:dyDescent="0.3">
      <c r="A153" t="s">
        <v>161</v>
      </c>
      <c r="B153" s="3">
        <v>45350</v>
      </c>
      <c r="C153" t="s">
        <v>312</v>
      </c>
      <c r="D153" t="s">
        <v>321</v>
      </c>
      <c r="E153" t="s">
        <v>329</v>
      </c>
      <c r="F153" t="s">
        <v>333</v>
      </c>
      <c r="G153" t="s">
        <v>338</v>
      </c>
      <c r="H153" t="s">
        <v>354</v>
      </c>
      <c r="I153">
        <v>5</v>
      </c>
      <c r="J153" s="9">
        <v>44843</v>
      </c>
      <c r="K153" s="9">
        <f t="shared" si="6"/>
        <v>224215</v>
      </c>
      <c r="L153" t="str">
        <f t="shared" si="7"/>
        <v>Feb-2024</v>
      </c>
      <c r="M153" t="str">
        <f t="shared" si="8"/>
        <v>Q1</v>
      </c>
    </row>
    <row r="154" spans="1:13" x14ac:dyDescent="0.3">
      <c r="A154" t="s">
        <v>162</v>
      </c>
      <c r="B154" s="3">
        <v>45344</v>
      </c>
      <c r="C154" t="s">
        <v>312</v>
      </c>
      <c r="D154" t="s">
        <v>317</v>
      </c>
      <c r="E154" t="s">
        <v>329</v>
      </c>
      <c r="F154" t="s">
        <v>331</v>
      </c>
      <c r="G154" t="s">
        <v>339</v>
      </c>
      <c r="H154" t="s">
        <v>349</v>
      </c>
      <c r="I154">
        <v>11</v>
      </c>
      <c r="J154" s="9">
        <v>16515</v>
      </c>
      <c r="K154" s="9">
        <f t="shared" si="6"/>
        <v>181665</v>
      </c>
      <c r="L154" t="str">
        <f t="shared" si="7"/>
        <v>Feb-2024</v>
      </c>
      <c r="M154" t="str">
        <f t="shared" si="8"/>
        <v>Q1</v>
      </c>
    </row>
    <row r="155" spans="1:13" x14ac:dyDescent="0.3">
      <c r="A155" t="s">
        <v>163</v>
      </c>
      <c r="B155" s="3">
        <v>45332</v>
      </c>
      <c r="C155" t="s">
        <v>313</v>
      </c>
      <c r="D155" t="s">
        <v>319</v>
      </c>
      <c r="E155" t="s">
        <v>330</v>
      </c>
      <c r="F155" t="s">
        <v>331</v>
      </c>
      <c r="G155" t="s">
        <v>334</v>
      </c>
      <c r="H155" t="s">
        <v>343</v>
      </c>
      <c r="I155">
        <v>13</v>
      </c>
      <c r="J155" s="9">
        <v>24583</v>
      </c>
      <c r="K155" s="9">
        <f t="shared" si="6"/>
        <v>319579</v>
      </c>
      <c r="L155" t="str">
        <f t="shared" si="7"/>
        <v>Feb-2024</v>
      </c>
      <c r="M155" t="str">
        <f t="shared" si="8"/>
        <v>Q1</v>
      </c>
    </row>
    <row r="156" spans="1:13" x14ac:dyDescent="0.3">
      <c r="A156" t="s">
        <v>164</v>
      </c>
      <c r="B156" s="3">
        <v>45296</v>
      </c>
      <c r="C156" t="s">
        <v>310</v>
      </c>
      <c r="D156" t="s">
        <v>322</v>
      </c>
      <c r="E156" t="s">
        <v>328</v>
      </c>
      <c r="F156" t="s">
        <v>332</v>
      </c>
      <c r="G156" t="s">
        <v>340</v>
      </c>
      <c r="H156" t="s">
        <v>350</v>
      </c>
      <c r="I156">
        <v>11</v>
      </c>
      <c r="J156" s="9">
        <v>7553</v>
      </c>
      <c r="K156" s="9">
        <f t="shared" si="6"/>
        <v>83083</v>
      </c>
      <c r="L156" t="str">
        <f t="shared" si="7"/>
        <v>Jan-2024</v>
      </c>
      <c r="M156" t="str">
        <f t="shared" si="8"/>
        <v>Q1</v>
      </c>
    </row>
    <row r="157" spans="1:13" x14ac:dyDescent="0.3">
      <c r="A157" t="s">
        <v>165</v>
      </c>
      <c r="B157" s="3">
        <v>45499</v>
      </c>
      <c r="C157" t="s">
        <v>313</v>
      </c>
      <c r="D157" t="s">
        <v>319</v>
      </c>
      <c r="E157" t="s">
        <v>327</v>
      </c>
      <c r="F157" t="s">
        <v>332</v>
      </c>
      <c r="G157" t="s">
        <v>335</v>
      </c>
      <c r="H157" t="s">
        <v>345</v>
      </c>
      <c r="I157">
        <v>19</v>
      </c>
      <c r="J157" s="9">
        <v>40874</v>
      </c>
      <c r="K157" s="9">
        <f t="shared" si="6"/>
        <v>776606</v>
      </c>
      <c r="L157" t="str">
        <f t="shared" si="7"/>
        <v>Jul-2024</v>
      </c>
      <c r="M157" t="str">
        <f t="shared" si="8"/>
        <v>Q3</v>
      </c>
    </row>
    <row r="158" spans="1:13" x14ac:dyDescent="0.3">
      <c r="A158" t="s">
        <v>166</v>
      </c>
      <c r="B158" s="3">
        <v>45446</v>
      </c>
      <c r="C158" t="s">
        <v>311</v>
      </c>
      <c r="D158" t="s">
        <v>318</v>
      </c>
      <c r="E158" t="s">
        <v>330</v>
      </c>
      <c r="F158" t="s">
        <v>333</v>
      </c>
      <c r="G158" t="s">
        <v>337</v>
      </c>
      <c r="H158" t="s">
        <v>347</v>
      </c>
      <c r="I158">
        <v>10</v>
      </c>
      <c r="J158" s="9">
        <v>36187</v>
      </c>
      <c r="K158" s="9">
        <f t="shared" si="6"/>
        <v>361870</v>
      </c>
      <c r="L158" t="str">
        <f t="shared" si="7"/>
        <v>Jun-2024</v>
      </c>
      <c r="M158" t="str">
        <f t="shared" si="8"/>
        <v>Q2</v>
      </c>
    </row>
    <row r="159" spans="1:13" x14ac:dyDescent="0.3">
      <c r="A159" t="s">
        <v>167</v>
      </c>
      <c r="B159" s="3">
        <v>45381</v>
      </c>
      <c r="C159" t="s">
        <v>310</v>
      </c>
      <c r="D159" t="s">
        <v>322</v>
      </c>
      <c r="E159" t="s">
        <v>330</v>
      </c>
      <c r="F159" t="s">
        <v>332</v>
      </c>
      <c r="G159" t="s">
        <v>336</v>
      </c>
      <c r="H159" t="s">
        <v>346</v>
      </c>
      <c r="I159">
        <v>7</v>
      </c>
      <c r="J159" s="9">
        <v>28682</v>
      </c>
      <c r="K159" s="9">
        <f t="shared" si="6"/>
        <v>200774</v>
      </c>
      <c r="L159" t="str">
        <f t="shared" si="7"/>
        <v>Mar-2024</v>
      </c>
      <c r="M159" t="str">
        <f t="shared" si="8"/>
        <v>Q1</v>
      </c>
    </row>
    <row r="160" spans="1:13" x14ac:dyDescent="0.3">
      <c r="A160" t="s">
        <v>168</v>
      </c>
      <c r="B160" s="3">
        <v>45430</v>
      </c>
      <c r="C160" t="s">
        <v>313</v>
      </c>
      <c r="D160" t="s">
        <v>319</v>
      </c>
      <c r="E160" t="s">
        <v>328</v>
      </c>
      <c r="F160" t="s">
        <v>331</v>
      </c>
      <c r="G160" t="s">
        <v>334</v>
      </c>
      <c r="H160" t="s">
        <v>359</v>
      </c>
      <c r="I160">
        <v>9</v>
      </c>
      <c r="J160" s="9">
        <v>31213</v>
      </c>
      <c r="K160" s="9">
        <f t="shared" si="6"/>
        <v>280917</v>
      </c>
      <c r="L160" t="str">
        <f t="shared" si="7"/>
        <v>May-2024</v>
      </c>
      <c r="M160" t="str">
        <f t="shared" si="8"/>
        <v>Q2</v>
      </c>
    </row>
    <row r="161" spans="1:13" x14ac:dyDescent="0.3">
      <c r="A161" t="s">
        <v>169</v>
      </c>
      <c r="B161" s="3">
        <v>45327</v>
      </c>
      <c r="C161" t="s">
        <v>310</v>
      </c>
      <c r="D161" t="s">
        <v>320</v>
      </c>
      <c r="E161" t="s">
        <v>328</v>
      </c>
      <c r="F161" t="s">
        <v>332</v>
      </c>
      <c r="G161" t="s">
        <v>335</v>
      </c>
      <c r="H161" t="s">
        <v>345</v>
      </c>
      <c r="I161">
        <v>12</v>
      </c>
      <c r="J161" s="9">
        <v>35900</v>
      </c>
      <c r="K161" s="9">
        <f t="shared" si="6"/>
        <v>430800</v>
      </c>
      <c r="L161" t="str">
        <f t="shared" si="7"/>
        <v>Feb-2024</v>
      </c>
      <c r="M161" t="str">
        <f t="shared" si="8"/>
        <v>Q1</v>
      </c>
    </row>
    <row r="162" spans="1:13" x14ac:dyDescent="0.3">
      <c r="A162" t="s">
        <v>170</v>
      </c>
      <c r="B162" s="3">
        <v>45371</v>
      </c>
      <c r="C162" t="s">
        <v>312</v>
      </c>
      <c r="D162" t="s">
        <v>325</v>
      </c>
      <c r="E162" t="s">
        <v>363</v>
      </c>
      <c r="F162" t="s">
        <v>333</v>
      </c>
      <c r="G162" t="s">
        <v>338</v>
      </c>
      <c r="H162" t="s">
        <v>354</v>
      </c>
      <c r="I162">
        <v>19</v>
      </c>
      <c r="J162" s="9">
        <v>9501</v>
      </c>
      <c r="K162" s="9">
        <f t="shared" si="6"/>
        <v>180519</v>
      </c>
      <c r="L162" t="str">
        <f t="shared" si="7"/>
        <v>Mar-2024</v>
      </c>
      <c r="M162" t="str">
        <f t="shared" si="8"/>
        <v>Q1</v>
      </c>
    </row>
    <row r="163" spans="1:13" x14ac:dyDescent="0.3">
      <c r="A163" t="s">
        <v>171</v>
      </c>
      <c r="B163" s="3">
        <v>45373</v>
      </c>
      <c r="C163" t="s">
        <v>310</v>
      </c>
      <c r="D163" t="s">
        <v>320</v>
      </c>
      <c r="E163" t="s">
        <v>330</v>
      </c>
      <c r="F163" t="s">
        <v>333</v>
      </c>
      <c r="G163" t="s">
        <v>338</v>
      </c>
      <c r="H163" t="s">
        <v>348</v>
      </c>
      <c r="I163">
        <v>13</v>
      </c>
      <c r="J163" s="9">
        <v>29017</v>
      </c>
      <c r="K163" s="9">
        <f t="shared" si="6"/>
        <v>377221</v>
      </c>
      <c r="L163" t="str">
        <f t="shared" si="7"/>
        <v>Mar-2024</v>
      </c>
      <c r="M163" t="str">
        <f t="shared" si="8"/>
        <v>Q1</v>
      </c>
    </row>
    <row r="164" spans="1:13" x14ac:dyDescent="0.3">
      <c r="A164" t="s">
        <v>172</v>
      </c>
      <c r="B164" s="3">
        <v>45443</v>
      </c>
      <c r="C164" t="s">
        <v>311</v>
      </c>
      <c r="D164" t="s">
        <v>315</v>
      </c>
      <c r="E164" t="s">
        <v>328</v>
      </c>
      <c r="F164" t="s">
        <v>332</v>
      </c>
      <c r="G164" t="s">
        <v>335</v>
      </c>
      <c r="H164" t="s">
        <v>345</v>
      </c>
      <c r="I164">
        <v>1</v>
      </c>
      <c r="J164" s="9">
        <v>35411</v>
      </c>
      <c r="K164" s="9">
        <f t="shared" si="6"/>
        <v>35411</v>
      </c>
      <c r="L164" t="str">
        <f t="shared" si="7"/>
        <v>May-2024</v>
      </c>
      <c r="M164" t="str">
        <f t="shared" si="8"/>
        <v>Q2</v>
      </c>
    </row>
    <row r="165" spans="1:13" x14ac:dyDescent="0.3">
      <c r="A165" t="s">
        <v>173</v>
      </c>
      <c r="B165" s="3">
        <v>45579</v>
      </c>
      <c r="C165" t="s">
        <v>312</v>
      </c>
      <c r="D165" t="s">
        <v>325</v>
      </c>
      <c r="E165" t="s">
        <v>327</v>
      </c>
      <c r="F165" t="s">
        <v>331</v>
      </c>
      <c r="G165" t="s">
        <v>334</v>
      </c>
      <c r="H165" t="s">
        <v>359</v>
      </c>
      <c r="I165">
        <v>15</v>
      </c>
      <c r="J165" s="9">
        <v>2190</v>
      </c>
      <c r="K165" s="9">
        <f t="shared" si="6"/>
        <v>32850</v>
      </c>
      <c r="L165" t="str">
        <f t="shared" si="7"/>
        <v>Oct-2024</v>
      </c>
      <c r="M165" t="str">
        <f t="shared" si="8"/>
        <v>Q4</v>
      </c>
    </row>
    <row r="166" spans="1:13" x14ac:dyDescent="0.3">
      <c r="A166" t="s">
        <v>174</v>
      </c>
      <c r="B166" s="3">
        <v>45481</v>
      </c>
      <c r="C166" t="s">
        <v>363</v>
      </c>
      <c r="D166" t="s">
        <v>318</v>
      </c>
      <c r="E166" t="s">
        <v>326</v>
      </c>
      <c r="F166" t="s">
        <v>332</v>
      </c>
      <c r="G166" t="s">
        <v>340</v>
      </c>
      <c r="H166" t="s">
        <v>350</v>
      </c>
      <c r="I166">
        <v>13</v>
      </c>
      <c r="J166" s="9">
        <v>39900</v>
      </c>
      <c r="K166" s="9">
        <f t="shared" si="6"/>
        <v>518700</v>
      </c>
      <c r="L166" t="str">
        <f t="shared" si="7"/>
        <v>Jul-2024</v>
      </c>
      <c r="M166" t="str">
        <f t="shared" si="8"/>
        <v>Q3</v>
      </c>
    </row>
    <row r="167" spans="1:13" x14ac:dyDescent="0.3">
      <c r="A167" t="s">
        <v>175</v>
      </c>
      <c r="B167" s="3">
        <v>45622</v>
      </c>
      <c r="C167" t="s">
        <v>311</v>
      </c>
      <c r="D167" t="s">
        <v>315</v>
      </c>
      <c r="E167" t="s">
        <v>327</v>
      </c>
      <c r="F167" t="s">
        <v>331</v>
      </c>
      <c r="G167" t="s">
        <v>334</v>
      </c>
      <c r="H167" t="s">
        <v>343</v>
      </c>
      <c r="I167">
        <v>2</v>
      </c>
      <c r="J167" s="9">
        <v>7482</v>
      </c>
      <c r="K167" s="9">
        <f t="shared" si="6"/>
        <v>14964</v>
      </c>
      <c r="L167" t="str">
        <f t="shared" si="7"/>
        <v>Nov-2024</v>
      </c>
      <c r="M167" t="str">
        <f t="shared" si="8"/>
        <v>Q4</v>
      </c>
    </row>
    <row r="168" spans="1:13" x14ac:dyDescent="0.3">
      <c r="A168" t="s">
        <v>176</v>
      </c>
      <c r="B168" s="3">
        <v>45582</v>
      </c>
      <c r="C168" t="s">
        <v>310</v>
      </c>
      <c r="D168" t="s">
        <v>314</v>
      </c>
      <c r="E168" t="s">
        <v>329</v>
      </c>
      <c r="F168" t="s">
        <v>332</v>
      </c>
      <c r="G168" t="s">
        <v>340</v>
      </c>
      <c r="H168" t="s">
        <v>350</v>
      </c>
      <c r="I168">
        <v>16</v>
      </c>
      <c r="J168" s="9">
        <v>45909</v>
      </c>
      <c r="K168" s="9">
        <f t="shared" si="6"/>
        <v>734544</v>
      </c>
      <c r="L168" t="str">
        <f t="shared" si="7"/>
        <v>Oct-2024</v>
      </c>
      <c r="M168" t="str">
        <f t="shared" si="8"/>
        <v>Q4</v>
      </c>
    </row>
    <row r="169" spans="1:13" x14ac:dyDescent="0.3">
      <c r="A169" t="s">
        <v>177</v>
      </c>
      <c r="B169" s="3">
        <v>45475</v>
      </c>
      <c r="C169" t="s">
        <v>310</v>
      </c>
      <c r="D169" t="s">
        <v>314</v>
      </c>
      <c r="E169" t="s">
        <v>330</v>
      </c>
      <c r="F169" t="s">
        <v>331</v>
      </c>
      <c r="G169" t="s">
        <v>339</v>
      </c>
      <c r="H169" t="s">
        <v>349</v>
      </c>
      <c r="I169">
        <v>4</v>
      </c>
      <c r="J169" s="9">
        <v>2859</v>
      </c>
      <c r="K169" s="9">
        <f t="shared" si="6"/>
        <v>11436</v>
      </c>
      <c r="L169" t="str">
        <f t="shared" si="7"/>
        <v>Jul-2024</v>
      </c>
      <c r="M169" t="str">
        <f t="shared" si="8"/>
        <v>Q3</v>
      </c>
    </row>
    <row r="170" spans="1:13" x14ac:dyDescent="0.3">
      <c r="A170" t="s">
        <v>178</v>
      </c>
      <c r="B170" s="3">
        <v>45628</v>
      </c>
      <c r="C170" t="s">
        <v>313</v>
      </c>
      <c r="D170" t="s">
        <v>363</v>
      </c>
      <c r="E170" t="s">
        <v>327</v>
      </c>
      <c r="F170" t="s">
        <v>332</v>
      </c>
      <c r="G170" t="s">
        <v>340</v>
      </c>
      <c r="H170" t="s">
        <v>350</v>
      </c>
      <c r="I170">
        <v>20</v>
      </c>
      <c r="J170" s="9">
        <v>28699</v>
      </c>
      <c r="K170" s="9">
        <f t="shared" si="6"/>
        <v>573980</v>
      </c>
      <c r="L170" t="str">
        <f t="shared" si="7"/>
        <v>Dec-2024</v>
      </c>
      <c r="M170" t="str">
        <f t="shared" si="8"/>
        <v>Q4</v>
      </c>
    </row>
    <row r="171" spans="1:13" x14ac:dyDescent="0.3">
      <c r="A171" t="s">
        <v>179</v>
      </c>
      <c r="B171" s="3">
        <v>45517</v>
      </c>
      <c r="C171" t="s">
        <v>311</v>
      </c>
      <c r="D171" t="s">
        <v>316</v>
      </c>
      <c r="E171" t="s">
        <v>330</v>
      </c>
      <c r="F171" t="s">
        <v>333</v>
      </c>
      <c r="G171" t="s">
        <v>338</v>
      </c>
      <c r="H171" t="s">
        <v>348</v>
      </c>
      <c r="I171">
        <v>20</v>
      </c>
      <c r="J171" s="9">
        <v>34212</v>
      </c>
      <c r="K171" s="9">
        <f t="shared" si="6"/>
        <v>684240</v>
      </c>
      <c r="L171" t="str">
        <f t="shared" si="7"/>
        <v>Aug-2024</v>
      </c>
      <c r="M171" t="str">
        <f t="shared" si="8"/>
        <v>Q3</v>
      </c>
    </row>
    <row r="172" spans="1:13" x14ac:dyDescent="0.3">
      <c r="A172" t="s">
        <v>180</v>
      </c>
      <c r="B172" s="3">
        <v>45554</v>
      </c>
      <c r="C172" t="s">
        <v>310</v>
      </c>
      <c r="D172" t="s">
        <v>322</v>
      </c>
      <c r="E172" t="s">
        <v>330</v>
      </c>
      <c r="F172" t="s">
        <v>333</v>
      </c>
      <c r="G172" t="s">
        <v>337</v>
      </c>
      <c r="H172" t="s">
        <v>347</v>
      </c>
      <c r="I172">
        <v>18</v>
      </c>
      <c r="J172" s="9">
        <v>42322</v>
      </c>
      <c r="K172" s="9">
        <f t="shared" si="6"/>
        <v>761796</v>
      </c>
      <c r="L172" t="str">
        <f t="shared" si="7"/>
        <v>Sep-2024</v>
      </c>
      <c r="M172" t="str">
        <f t="shared" si="8"/>
        <v>Q3</v>
      </c>
    </row>
    <row r="173" spans="1:13" x14ac:dyDescent="0.3">
      <c r="A173" t="s">
        <v>181</v>
      </c>
      <c r="B173" s="3">
        <v>45537</v>
      </c>
      <c r="C173" t="s">
        <v>311</v>
      </c>
      <c r="D173" t="s">
        <v>316</v>
      </c>
      <c r="E173" t="s">
        <v>330</v>
      </c>
      <c r="F173" t="s">
        <v>332</v>
      </c>
      <c r="G173" t="s">
        <v>335</v>
      </c>
      <c r="H173" t="s">
        <v>344</v>
      </c>
      <c r="I173">
        <v>13</v>
      </c>
      <c r="J173" s="9">
        <v>41592</v>
      </c>
      <c r="K173" s="9">
        <f t="shared" si="6"/>
        <v>540696</v>
      </c>
      <c r="L173" t="str">
        <f t="shared" si="7"/>
        <v>Sep-2024</v>
      </c>
      <c r="M173" t="str">
        <f t="shared" si="8"/>
        <v>Q3</v>
      </c>
    </row>
    <row r="174" spans="1:13" x14ac:dyDescent="0.3">
      <c r="A174" t="s">
        <v>182</v>
      </c>
      <c r="B174" s="3">
        <v>45419</v>
      </c>
      <c r="C174" t="s">
        <v>310</v>
      </c>
      <c r="D174" t="s">
        <v>320</v>
      </c>
      <c r="E174" t="s">
        <v>329</v>
      </c>
      <c r="F174" t="s">
        <v>332</v>
      </c>
      <c r="G174" t="s">
        <v>335</v>
      </c>
      <c r="H174" t="s">
        <v>344</v>
      </c>
      <c r="I174">
        <v>11</v>
      </c>
      <c r="J174" s="9">
        <v>43231</v>
      </c>
      <c r="K174" s="9">
        <f t="shared" si="6"/>
        <v>475541</v>
      </c>
      <c r="L174" t="str">
        <f t="shared" si="7"/>
        <v>May-2024</v>
      </c>
      <c r="M174" t="str">
        <f t="shared" si="8"/>
        <v>Q2</v>
      </c>
    </row>
    <row r="175" spans="1:13" x14ac:dyDescent="0.3">
      <c r="A175" t="s">
        <v>183</v>
      </c>
      <c r="B175" s="3">
        <v>45481</v>
      </c>
      <c r="C175" t="s">
        <v>310</v>
      </c>
      <c r="D175" t="s">
        <v>314</v>
      </c>
      <c r="E175" t="s">
        <v>326</v>
      </c>
      <c r="F175" t="s">
        <v>333</v>
      </c>
      <c r="G175" t="s">
        <v>337</v>
      </c>
      <c r="H175" t="s">
        <v>347</v>
      </c>
      <c r="I175">
        <v>7</v>
      </c>
      <c r="J175" s="9">
        <v>28510</v>
      </c>
      <c r="K175" s="9">
        <f t="shared" si="6"/>
        <v>199570</v>
      </c>
      <c r="L175" t="str">
        <f t="shared" si="7"/>
        <v>Jul-2024</v>
      </c>
      <c r="M175" t="str">
        <f t="shared" si="8"/>
        <v>Q3</v>
      </c>
    </row>
    <row r="176" spans="1:13" x14ac:dyDescent="0.3">
      <c r="A176" t="s">
        <v>184</v>
      </c>
      <c r="B176" s="3">
        <v>45428</v>
      </c>
      <c r="C176" t="s">
        <v>311</v>
      </c>
      <c r="D176" t="s">
        <v>316</v>
      </c>
      <c r="E176" t="s">
        <v>330</v>
      </c>
      <c r="F176" t="s">
        <v>332</v>
      </c>
      <c r="G176" t="s">
        <v>335</v>
      </c>
      <c r="H176" t="s">
        <v>345</v>
      </c>
      <c r="I176">
        <v>5</v>
      </c>
      <c r="J176" s="9">
        <v>982</v>
      </c>
      <c r="K176" s="9">
        <f t="shared" si="6"/>
        <v>4910</v>
      </c>
      <c r="L176" t="str">
        <f t="shared" si="7"/>
        <v>May-2024</v>
      </c>
      <c r="M176" t="str">
        <f t="shared" si="8"/>
        <v>Q2</v>
      </c>
    </row>
    <row r="177" spans="1:13" x14ac:dyDescent="0.3">
      <c r="A177" t="s">
        <v>185</v>
      </c>
      <c r="B177" s="3">
        <v>45330</v>
      </c>
      <c r="C177" t="s">
        <v>311</v>
      </c>
      <c r="D177" t="s">
        <v>316</v>
      </c>
      <c r="E177" t="s">
        <v>330</v>
      </c>
      <c r="F177" t="s">
        <v>331</v>
      </c>
      <c r="G177" t="s">
        <v>339</v>
      </c>
      <c r="H177" t="s">
        <v>349</v>
      </c>
      <c r="I177">
        <v>15</v>
      </c>
      <c r="J177" s="9">
        <v>24908</v>
      </c>
      <c r="K177" s="9">
        <f t="shared" si="6"/>
        <v>373620</v>
      </c>
      <c r="L177" t="str">
        <f t="shared" si="7"/>
        <v>Feb-2024</v>
      </c>
      <c r="M177" t="str">
        <f t="shared" si="8"/>
        <v>Q1</v>
      </c>
    </row>
    <row r="178" spans="1:13" x14ac:dyDescent="0.3">
      <c r="A178" t="s">
        <v>186</v>
      </c>
      <c r="B178" s="3">
        <v>45422</v>
      </c>
      <c r="C178" t="s">
        <v>313</v>
      </c>
      <c r="D178" t="s">
        <v>363</v>
      </c>
      <c r="E178" t="s">
        <v>327</v>
      </c>
      <c r="F178" t="s">
        <v>331</v>
      </c>
      <c r="G178" t="s">
        <v>341</v>
      </c>
      <c r="H178" t="s">
        <v>358</v>
      </c>
      <c r="I178">
        <v>15</v>
      </c>
      <c r="J178" s="9">
        <v>26188</v>
      </c>
      <c r="K178" s="9">
        <f t="shared" si="6"/>
        <v>392820</v>
      </c>
      <c r="L178" t="str">
        <f t="shared" si="7"/>
        <v>May-2024</v>
      </c>
      <c r="M178" t="str">
        <f t="shared" si="8"/>
        <v>Q2</v>
      </c>
    </row>
    <row r="179" spans="1:13" x14ac:dyDescent="0.3">
      <c r="A179" t="s">
        <v>187</v>
      </c>
      <c r="B179" s="3">
        <v>45570</v>
      </c>
      <c r="C179" t="s">
        <v>310</v>
      </c>
      <c r="D179" t="s">
        <v>314</v>
      </c>
      <c r="E179" t="s">
        <v>330</v>
      </c>
      <c r="F179" t="s">
        <v>332</v>
      </c>
      <c r="G179" t="s">
        <v>340</v>
      </c>
      <c r="H179" t="s">
        <v>350</v>
      </c>
      <c r="I179">
        <v>14</v>
      </c>
      <c r="J179" s="9">
        <v>10613</v>
      </c>
      <c r="K179" s="9">
        <f t="shared" si="6"/>
        <v>148582</v>
      </c>
      <c r="L179" t="str">
        <f t="shared" si="7"/>
        <v>Oct-2024</v>
      </c>
      <c r="M179" t="str">
        <f t="shared" si="8"/>
        <v>Q4</v>
      </c>
    </row>
    <row r="180" spans="1:13" x14ac:dyDescent="0.3">
      <c r="A180" t="s">
        <v>188</v>
      </c>
      <c r="B180" s="3">
        <v>45566</v>
      </c>
      <c r="C180" t="s">
        <v>310</v>
      </c>
      <c r="D180" t="s">
        <v>320</v>
      </c>
      <c r="E180" t="s">
        <v>328</v>
      </c>
      <c r="F180" t="s">
        <v>332</v>
      </c>
      <c r="G180" t="s">
        <v>335</v>
      </c>
      <c r="H180" t="s">
        <v>344</v>
      </c>
      <c r="I180">
        <v>6</v>
      </c>
      <c r="J180" s="9">
        <v>11708</v>
      </c>
      <c r="K180" s="9">
        <f t="shared" si="6"/>
        <v>70248</v>
      </c>
      <c r="L180" t="str">
        <f t="shared" si="7"/>
        <v>Oct-2024</v>
      </c>
      <c r="M180" t="str">
        <f t="shared" si="8"/>
        <v>Q4</v>
      </c>
    </row>
    <row r="181" spans="1:13" x14ac:dyDescent="0.3">
      <c r="A181" t="s">
        <v>189</v>
      </c>
      <c r="B181" s="3">
        <v>45510</v>
      </c>
      <c r="C181" t="s">
        <v>311</v>
      </c>
      <c r="D181" t="s">
        <v>318</v>
      </c>
      <c r="E181" t="s">
        <v>330</v>
      </c>
      <c r="F181" t="s">
        <v>331</v>
      </c>
      <c r="G181" t="s">
        <v>341</v>
      </c>
      <c r="H181" t="s">
        <v>358</v>
      </c>
      <c r="I181">
        <v>2</v>
      </c>
      <c r="J181" s="9">
        <v>33994</v>
      </c>
      <c r="K181" s="9">
        <f t="shared" si="6"/>
        <v>67988</v>
      </c>
      <c r="L181" t="str">
        <f t="shared" si="7"/>
        <v>Aug-2024</v>
      </c>
      <c r="M181" t="str">
        <f t="shared" si="8"/>
        <v>Q3</v>
      </c>
    </row>
    <row r="182" spans="1:13" x14ac:dyDescent="0.3">
      <c r="A182" t="s">
        <v>190</v>
      </c>
      <c r="B182" s="3">
        <v>45418</v>
      </c>
      <c r="C182" t="s">
        <v>310</v>
      </c>
      <c r="D182" t="s">
        <v>314</v>
      </c>
      <c r="E182" t="s">
        <v>326</v>
      </c>
      <c r="F182" t="s">
        <v>332</v>
      </c>
      <c r="G182" t="s">
        <v>336</v>
      </c>
      <c r="H182" t="s">
        <v>346</v>
      </c>
      <c r="I182">
        <v>15</v>
      </c>
      <c r="J182" s="9">
        <v>8004</v>
      </c>
      <c r="K182" s="9">
        <f t="shared" si="6"/>
        <v>120060</v>
      </c>
      <c r="L182" t="str">
        <f t="shared" si="7"/>
        <v>May-2024</v>
      </c>
      <c r="M182" t="str">
        <f t="shared" si="8"/>
        <v>Q2</v>
      </c>
    </row>
    <row r="183" spans="1:13" x14ac:dyDescent="0.3">
      <c r="A183" t="s">
        <v>191</v>
      </c>
      <c r="B183" s="3">
        <v>45620</v>
      </c>
      <c r="C183" t="s">
        <v>312</v>
      </c>
      <c r="D183" t="s">
        <v>317</v>
      </c>
      <c r="E183" t="s">
        <v>326</v>
      </c>
      <c r="F183" t="s">
        <v>331</v>
      </c>
      <c r="G183" t="s">
        <v>341</v>
      </c>
      <c r="H183" t="s">
        <v>358</v>
      </c>
      <c r="I183">
        <v>2</v>
      </c>
      <c r="J183" s="9">
        <v>34178</v>
      </c>
      <c r="K183" s="9">
        <f t="shared" si="6"/>
        <v>68356</v>
      </c>
      <c r="L183" t="str">
        <f t="shared" si="7"/>
        <v>Nov-2024</v>
      </c>
      <c r="M183" t="str">
        <f t="shared" si="8"/>
        <v>Q4</v>
      </c>
    </row>
    <row r="184" spans="1:13" x14ac:dyDescent="0.3">
      <c r="A184" t="s">
        <v>192</v>
      </c>
      <c r="B184" s="3">
        <v>45434</v>
      </c>
      <c r="C184" t="s">
        <v>310</v>
      </c>
      <c r="D184" t="s">
        <v>322</v>
      </c>
      <c r="E184" t="s">
        <v>326</v>
      </c>
      <c r="F184" t="s">
        <v>331</v>
      </c>
      <c r="G184" t="s">
        <v>334</v>
      </c>
      <c r="H184" t="s">
        <v>353</v>
      </c>
      <c r="I184">
        <v>6</v>
      </c>
      <c r="J184" s="9">
        <v>39191</v>
      </c>
      <c r="K184" s="9">
        <f t="shared" si="6"/>
        <v>235146</v>
      </c>
      <c r="L184" t="str">
        <f t="shared" si="7"/>
        <v>May-2024</v>
      </c>
      <c r="M184" t="str">
        <f t="shared" si="8"/>
        <v>Q2</v>
      </c>
    </row>
    <row r="185" spans="1:13" x14ac:dyDescent="0.3">
      <c r="A185" t="s">
        <v>193</v>
      </c>
      <c r="B185" s="3">
        <v>45548</v>
      </c>
      <c r="C185" t="s">
        <v>310</v>
      </c>
      <c r="D185" t="s">
        <v>314</v>
      </c>
      <c r="E185" t="s">
        <v>326</v>
      </c>
      <c r="F185" t="s">
        <v>332</v>
      </c>
      <c r="G185" t="s">
        <v>340</v>
      </c>
      <c r="H185" t="s">
        <v>350</v>
      </c>
      <c r="I185">
        <v>18</v>
      </c>
      <c r="J185" s="9">
        <v>11185</v>
      </c>
      <c r="K185" s="9">
        <f t="shared" si="6"/>
        <v>201330</v>
      </c>
      <c r="L185" t="str">
        <f t="shared" si="7"/>
        <v>Sep-2024</v>
      </c>
      <c r="M185" t="str">
        <f t="shared" si="8"/>
        <v>Q3</v>
      </c>
    </row>
    <row r="186" spans="1:13" x14ac:dyDescent="0.3">
      <c r="A186" t="s">
        <v>194</v>
      </c>
      <c r="B186" s="3">
        <v>45434</v>
      </c>
      <c r="C186" t="s">
        <v>311</v>
      </c>
      <c r="D186" t="s">
        <v>363</v>
      </c>
      <c r="E186" t="s">
        <v>329</v>
      </c>
      <c r="F186" t="s">
        <v>333</v>
      </c>
      <c r="G186" t="s">
        <v>342</v>
      </c>
      <c r="H186" t="s">
        <v>355</v>
      </c>
      <c r="I186">
        <v>5</v>
      </c>
      <c r="J186" s="9">
        <v>17203</v>
      </c>
      <c r="K186" s="9">
        <f t="shared" si="6"/>
        <v>86015</v>
      </c>
      <c r="L186" t="str">
        <f t="shared" si="7"/>
        <v>May-2024</v>
      </c>
      <c r="M186" t="str">
        <f t="shared" si="8"/>
        <v>Q2</v>
      </c>
    </row>
    <row r="187" spans="1:13" x14ac:dyDescent="0.3">
      <c r="A187" t="s">
        <v>195</v>
      </c>
      <c r="B187" s="3">
        <v>45476</v>
      </c>
      <c r="C187" t="s">
        <v>313</v>
      </c>
      <c r="D187" t="s">
        <v>363</v>
      </c>
      <c r="E187" t="s">
        <v>329</v>
      </c>
      <c r="F187" t="s">
        <v>332</v>
      </c>
      <c r="G187" t="s">
        <v>336</v>
      </c>
      <c r="H187" t="s">
        <v>346</v>
      </c>
      <c r="I187">
        <v>5</v>
      </c>
      <c r="J187" s="9">
        <v>17138</v>
      </c>
      <c r="K187" s="9">
        <f t="shared" si="6"/>
        <v>85690</v>
      </c>
      <c r="L187" t="str">
        <f t="shared" si="7"/>
        <v>Jul-2024</v>
      </c>
      <c r="M187" t="str">
        <f t="shared" si="8"/>
        <v>Q3</v>
      </c>
    </row>
    <row r="188" spans="1:13" x14ac:dyDescent="0.3">
      <c r="A188" t="s">
        <v>196</v>
      </c>
      <c r="B188" s="3">
        <v>45581</v>
      </c>
      <c r="C188" t="s">
        <v>313</v>
      </c>
      <c r="D188" t="s">
        <v>324</v>
      </c>
      <c r="E188" t="s">
        <v>326</v>
      </c>
      <c r="F188" t="s">
        <v>333</v>
      </c>
      <c r="G188" t="s">
        <v>338</v>
      </c>
      <c r="H188" t="s">
        <v>348</v>
      </c>
      <c r="I188">
        <v>1</v>
      </c>
      <c r="J188" s="9">
        <v>9966</v>
      </c>
      <c r="K188" s="9">
        <f t="shared" si="6"/>
        <v>9966</v>
      </c>
      <c r="L188" t="str">
        <f t="shared" si="7"/>
        <v>Oct-2024</v>
      </c>
      <c r="M188" t="str">
        <f t="shared" si="8"/>
        <v>Q4</v>
      </c>
    </row>
    <row r="189" spans="1:13" x14ac:dyDescent="0.3">
      <c r="A189" t="s">
        <v>197</v>
      </c>
      <c r="B189" s="3">
        <v>45588</v>
      </c>
      <c r="C189" t="s">
        <v>310</v>
      </c>
      <c r="D189" t="s">
        <v>320</v>
      </c>
      <c r="E189" t="s">
        <v>328</v>
      </c>
      <c r="F189" t="s">
        <v>331</v>
      </c>
      <c r="G189" t="s">
        <v>339</v>
      </c>
      <c r="H189" t="s">
        <v>357</v>
      </c>
      <c r="I189">
        <v>20</v>
      </c>
      <c r="J189" s="9">
        <v>13203</v>
      </c>
      <c r="K189" s="9">
        <f t="shared" si="6"/>
        <v>264060</v>
      </c>
      <c r="L189" t="str">
        <f t="shared" si="7"/>
        <v>Oct-2024</v>
      </c>
      <c r="M189" t="str">
        <f t="shared" si="8"/>
        <v>Q4</v>
      </c>
    </row>
    <row r="190" spans="1:13" x14ac:dyDescent="0.3">
      <c r="A190" t="s">
        <v>198</v>
      </c>
      <c r="B190" s="3">
        <v>45575</v>
      </c>
      <c r="C190" t="s">
        <v>311</v>
      </c>
      <c r="D190" t="s">
        <v>318</v>
      </c>
      <c r="E190" t="s">
        <v>326</v>
      </c>
      <c r="F190" t="s">
        <v>331</v>
      </c>
      <c r="G190" t="s">
        <v>341</v>
      </c>
      <c r="H190" t="s">
        <v>358</v>
      </c>
      <c r="I190">
        <v>13</v>
      </c>
      <c r="J190" s="9">
        <v>46830</v>
      </c>
      <c r="K190" s="9">
        <f t="shared" si="6"/>
        <v>608790</v>
      </c>
      <c r="L190" t="str">
        <f t="shared" si="7"/>
        <v>Oct-2024</v>
      </c>
      <c r="M190" t="str">
        <f t="shared" si="8"/>
        <v>Q4</v>
      </c>
    </row>
    <row r="191" spans="1:13" x14ac:dyDescent="0.3">
      <c r="A191" t="s">
        <v>199</v>
      </c>
      <c r="B191" s="3">
        <v>45633</v>
      </c>
      <c r="C191" t="s">
        <v>310</v>
      </c>
      <c r="D191" t="s">
        <v>322</v>
      </c>
      <c r="E191" t="s">
        <v>327</v>
      </c>
      <c r="F191" t="s">
        <v>332</v>
      </c>
      <c r="G191" t="s">
        <v>335</v>
      </c>
      <c r="H191" t="s">
        <v>344</v>
      </c>
      <c r="I191">
        <v>1</v>
      </c>
      <c r="J191" s="9">
        <v>49112</v>
      </c>
      <c r="K191" s="9">
        <f t="shared" si="6"/>
        <v>49112</v>
      </c>
      <c r="L191" t="str">
        <f t="shared" si="7"/>
        <v>Dec-2024</v>
      </c>
      <c r="M191" t="str">
        <f t="shared" si="8"/>
        <v>Q4</v>
      </c>
    </row>
    <row r="192" spans="1:13" x14ac:dyDescent="0.3">
      <c r="A192" t="s">
        <v>200</v>
      </c>
      <c r="B192" s="3">
        <v>45594</v>
      </c>
      <c r="C192" t="s">
        <v>311</v>
      </c>
      <c r="D192" t="s">
        <v>316</v>
      </c>
      <c r="E192" t="s">
        <v>328</v>
      </c>
      <c r="F192" t="s">
        <v>333</v>
      </c>
      <c r="G192" t="s">
        <v>337</v>
      </c>
      <c r="H192" t="s">
        <v>347</v>
      </c>
      <c r="I192">
        <v>5</v>
      </c>
      <c r="J192" s="9">
        <v>44285</v>
      </c>
      <c r="K192" s="9">
        <f t="shared" si="6"/>
        <v>221425</v>
      </c>
      <c r="L192" t="str">
        <f t="shared" si="7"/>
        <v>Oct-2024</v>
      </c>
      <c r="M192" t="str">
        <f t="shared" si="8"/>
        <v>Q4</v>
      </c>
    </row>
    <row r="193" spans="1:13" x14ac:dyDescent="0.3">
      <c r="A193" t="s">
        <v>201</v>
      </c>
      <c r="B193" s="3">
        <v>45395</v>
      </c>
      <c r="C193" t="s">
        <v>312</v>
      </c>
      <c r="D193" t="s">
        <v>321</v>
      </c>
      <c r="E193" t="s">
        <v>326</v>
      </c>
      <c r="F193" t="s">
        <v>333</v>
      </c>
      <c r="G193" t="s">
        <v>342</v>
      </c>
      <c r="H193" t="s">
        <v>355</v>
      </c>
      <c r="I193">
        <v>12</v>
      </c>
      <c r="J193" s="9">
        <v>49290</v>
      </c>
      <c r="K193" s="9">
        <f t="shared" si="6"/>
        <v>591480</v>
      </c>
      <c r="L193" t="str">
        <f t="shared" si="7"/>
        <v>Apr-2024</v>
      </c>
      <c r="M193" t="str">
        <f t="shared" si="8"/>
        <v>Q2</v>
      </c>
    </row>
    <row r="194" spans="1:13" x14ac:dyDescent="0.3">
      <c r="A194" t="s">
        <v>202</v>
      </c>
      <c r="B194" s="3">
        <v>45470</v>
      </c>
      <c r="C194" t="s">
        <v>310</v>
      </c>
      <c r="D194" t="s">
        <v>322</v>
      </c>
      <c r="E194" t="s">
        <v>326</v>
      </c>
      <c r="F194" t="s">
        <v>333</v>
      </c>
      <c r="G194" t="s">
        <v>337</v>
      </c>
      <c r="H194" t="s">
        <v>347</v>
      </c>
      <c r="I194">
        <v>18</v>
      </c>
      <c r="J194" s="9">
        <v>19321</v>
      </c>
      <c r="K194" s="9">
        <f t="shared" si="6"/>
        <v>347778</v>
      </c>
      <c r="L194" t="str">
        <f t="shared" si="7"/>
        <v>Jun-2024</v>
      </c>
      <c r="M194" t="str">
        <f t="shared" si="8"/>
        <v>Q2</v>
      </c>
    </row>
    <row r="195" spans="1:13" x14ac:dyDescent="0.3">
      <c r="A195" t="s">
        <v>203</v>
      </c>
      <c r="B195" s="3">
        <v>45303</v>
      </c>
      <c r="C195" t="s">
        <v>312</v>
      </c>
      <c r="D195" t="s">
        <v>325</v>
      </c>
      <c r="E195" t="s">
        <v>329</v>
      </c>
      <c r="F195" t="s">
        <v>333</v>
      </c>
      <c r="G195" t="s">
        <v>342</v>
      </c>
      <c r="H195" t="s">
        <v>355</v>
      </c>
      <c r="I195">
        <v>20</v>
      </c>
      <c r="J195" s="9">
        <v>39036</v>
      </c>
      <c r="K195" s="9">
        <f t="shared" ref="K195:K258" si="9">I195*J195</f>
        <v>780720</v>
      </c>
      <c r="L195" t="str">
        <f t="shared" ref="L195:L258" si="10">TEXT(B195,"MMM-YYYY")</f>
        <v>Jan-2024</v>
      </c>
      <c r="M195" t="str">
        <f t="shared" ref="M195:M258" si="11">IF(MONTH(L195)&lt;=3,"Q1",IF(MONTH(L195)&lt;=6,"Q2",IF(MONTH(L195)&lt;=9,"Q3","Q4")))</f>
        <v>Q1</v>
      </c>
    </row>
    <row r="196" spans="1:13" x14ac:dyDescent="0.3">
      <c r="A196" t="s">
        <v>204</v>
      </c>
      <c r="B196" s="3">
        <v>45608</v>
      </c>
      <c r="C196" t="s">
        <v>312</v>
      </c>
      <c r="D196" t="s">
        <v>325</v>
      </c>
      <c r="E196" t="s">
        <v>327</v>
      </c>
      <c r="F196" t="s">
        <v>333</v>
      </c>
      <c r="G196" t="s">
        <v>338</v>
      </c>
      <c r="H196" t="s">
        <v>348</v>
      </c>
      <c r="I196">
        <v>2</v>
      </c>
      <c r="J196" s="9">
        <v>20883</v>
      </c>
      <c r="K196" s="9">
        <f t="shared" si="9"/>
        <v>41766</v>
      </c>
      <c r="L196" t="str">
        <f t="shared" si="10"/>
        <v>Nov-2024</v>
      </c>
      <c r="M196" t="str">
        <f t="shared" si="11"/>
        <v>Q4</v>
      </c>
    </row>
    <row r="197" spans="1:13" x14ac:dyDescent="0.3">
      <c r="A197" t="s">
        <v>205</v>
      </c>
      <c r="B197" s="3">
        <v>45514</v>
      </c>
      <c r="C197" t="s">
        <v>310</v>
      </c>
      <c r="D197" t="s">
        <v>322</v>
      </c>
      <c r="E197" t="s">
        <v>328</v>
      </c>
      <c r="F197" t="s">
        <v>332</v>
      </c>
      <c r="G197" t="s">
        <v>335</v>
      </c>
      <c r="H197" t="s">
        <v>344</v>
      </c>
      <c r="I197">
        <v>8</v>
      </c>
      <c r="J197" s="9">
        <v>49002</v>
      </c>
      <c r="K197" s="9">
        <f t="shared" si="9"/>
        <v>392016</v>
      </c>
      <c r="L197" t="str">
        <f t="shared" si="10"/>
        <v>Aug-2024</v>
      </c>
      <c r="M197" t="str">
        <f t="shared" si="11"/>
        <v>Q3</v>
      </c>
    </row>
    <row r="198" spans="1:13" x14ac:dyDescent="0.3">
      <c r="A198" t="s">
        <v>206</v>
      </c>
      <c r="B198" s="3">
        <v>45654</v>
      </c>
      <c r="C198" t="s">
        <v>310</v>
      </c>
      <c r="D198" t="s">
        <v>314</v>
      </c>
      <c r="E198" t="s">
        <v>363</v>
      </c>
      <c r="F198" t="s">
        <v>332</v>
      </c>
      <c r="G198" t="s">
        <v>340</v>
      </c>
      <c r="H198" t="s">
        <v>350</v>
      </c>
      <c r="I198">
        <v>13</v>
      </c>
      <c r="J198" s="9">
        <v>43509</v>
      </c>
      <c r="K198" s="9">
        <f t="shared" si="9"/>
        <v>565617</v>
      </c>
      <c r="L198" t="str">
        <f t="shared" si="10"/>
        <v>Dec-2024</v>
      </c>
      <c r="M198" t="str">
        <f t="shared" si="11"/>
        <v>Q4</v>
      </c>
    </row>
    <row r="199" spans="1:13" x14ac:dyDescent="0.3">
      <c r="A199" t="s">
        <v>207</v>
      </c>
      <c r="B199" s="3">
        <v>45353</v>
      </c>
      <c r="C199" t="s">
        <v>310</v>
      </c>
      <c r="D199" t="s">
        <v>314</v>
      </c>
      <c r="E199" t="s">
        <v>330</v>
      </c>
      <c r="F199" t="s">
        <v>332</v>
      </c>
      <c r="G199" t="s">
        <v>340</v>
      </c>
      <c r="H199" t="s">
        <v>350</v>
      </c>
      <c r="I199">
        <v>19</v>
      </c>
      <c r="J199" s="9">
        <v>24975</v>
      </c>
      <c r="K199" s="9">
        <f t="shared" si="9"/>
        <v>474525</v>
      </c>
      <c r="L199" t="str">
        <f t="shared" si="10"/>
        <v>Mar-2024</v>
      </c>
      <c r="M199" t="str">
        <f t="shared" si="11"/>
        <v>Q1</v>
      </c>
    </row>
    <row r="200" spans="1:13" x14ac:dyDescent="0.3">
      <c r="A200" t="s">
        <v>208</v>
      </c>
      <c r="B200" s="3">
        <v>45311</v>
      </c>
      <c r="C200" t="s">
        <v>311</v>
      </c>
      <c r="D200" t="s">
        <v>318</v>
      </c>
      <c r="E200" t="s">
        <v>330</v>
      </c>
      <c r="F200" t="s">
        <v>332</v>
      </c>
      <c r="G200" t="s">
        <v>335</v>
      </c>
      <c r="H200" t="s">
        <v>345</v>
      </c>
      <c r="I200">
        <v>18</v>
      </c>
      <c r="J200" s="9">
        <v>33155</v>
      </c>
      <c r="K200" s="9">
        <f t="shared" si="9"/>
        <v>596790</v>
      </c>
      <c r="L200" t="str">
        <f t="shared" si="10"/>
        <v>Jan-2024</v>
      </c>
      <c r="M200" t="str">
        <f t="shared" si="11"/>
        <v>Q1</v>
      </c>
    </row>
    <row r="201" spans="1:13" x14ac:dyDescent="0.3">
      <c r="A201" t="s">
        <v>209</v>
      </c>
      <c r="B201" s="3">
        <v>45496</v>
      </c>
      <c r="C201" t="s">
        <v>310</v>
      </c>
      <c r="D201" t="s">
        <v>320</v>
      </c>
      <c r="E201" t="s">
        <v>329</v>
      </c>
      <c r="F201" t="s">
        <v>333</v>
      </c>
      <c r="G201" t="s">
        <v>337</v>
      </c>
      <c r="H201" t="s">
        <v>347</v>
      </c>
      <c r="I201">
        <v>16</v>
      </c>
      <c r="J201" s="9">
        <v>6604</v>
      </c>
      <c r="K201" s="9">
        <f t="shared" si="9"/>
        <v>105664</v>
      </c>
      <c r="L201" t="str">
        <f t="shared" si="10"/>
        <v>Jul-2024</v>
      </c>
      <c r="M201" t="str">
        <f t="shared" si="11"/>
        <v>Q3</v>
      </c>
    </row>
    <row r="202" spans="1:13" x14ac:dyDescent="0.3">
      <c r="A202" t="s">
        <v>210</v>
      </c>
      <c r="B202" s="3">
        <v>45314</v>
      </c>
      <c r="C202" t="s">
        <v>310</v>
      </c>
      <c r="D202" t="s">
        <v>322</v>
      </c>
      <c r="E202" t="s">
        <v>326</v>
      </c>
      <c r="F202" t="s">
        <v>332</v>
      </c>
      <c r="G202" t="s">
        <v>335</v>
      </c>
      <c r="H202" t="s">
        <v>345</v>
      </c>
      <c r="I202">
        <v>7</v>
      </c>
      <c r="J202" s="9">
        <v>26017</v>
      </c>
      <c r="K202" s="9">
        <f t="shared" si="9"/>
        <v>182119</v>
      </c>
      <c r="L202" t="str">
        <f t="shared" si="10"/>
        <v>Jan-2024</v>
      </c>
      <c r="M202" t="str">
        <f t="shared" si="11"/>
        <v>Q1</v>
      </c>
    </row>
    <row r="203" spans="1:13" x14ac:dyDescent="0.3">
      <c r="A203" t="s">
        <v>211</v>
      </c>
      <c r="B203" s="3">
        <v>45313</v>
      </c>
      <c r="C203" t="s">
        <v>313</v>
      </c>
      <c r="D203" t="s">
        <v>323</v>
      </c>
      <c r="E203" t="s">
        <v>326</v>
      </c>
      <c r="F203" t="s">
        <v>331</v>
      </c>
      <c r="G203" t="s">
        <v>339</v>
      </c>
      <c r="H203" t="s">
        <v>349</v>
      </c>
      <c r="I203">
        <v>15</v>
      </c>
      <c r="J203" s="9">
        <v>12572</v>
      </c>
      <c r="K203" s="9">
        <f t="shared" si="9"/>
        <v>188580</v>
      </c>
      <c r="L203" t="str">
        <f t="shared" si="10"/>
        <v>Jan-2024</v>
      </c>
      <c r="M203" t="str">
        <f t="shared" si="11"/>
        <v>Q1</v>
      </c>
    </row>
    <row r="204" spans="1:13" x14ac:dyDescent="0.3">
      <c r="A204" t="s">
        <v>212</v>
      </c>
      <c r="B204" s="3">
        <v>45559</v>
      </c>
      <c r="C204" t="s">
        <v>310</v>
      </c>
      <c r="D204" t="s">
        <v>314</v>
      </c>
      <c r="E204" t="s">
        <v>329</v>
      </c>
      <c r="F204" t="s">
        <v>332</v>
      </c>
      <c r="G204" t="s">
        <v>335</v>
      </c>
      <c r="H204" t="s">
        <v>345</v>
      </c>
      <c r="I204">
        <v>7</v>
      </c>
      <c r="J204" s="9">
        <v>15451</v>
      </c>
      <c r="K204" s="9">
        <f t="shared" si="9"/>
        <v>108157</v>
      </c>
      <c r="L204" t="str">
        <f t="shared" si="10"/>
        <v>Sep-2024</v>
      </c>
      <c r="M204" t="str">
        <f t="shared" si="11"/>
        <v>Q3</v>
      </c>
    </row>
    <row r="205" spans="1:13" x14ac:dyDescent="0.3">
      <c r="A205" t="s">
        <v>213</v>
      </c>
      <c r="B205" s="3">
        <v>45318</v>
      </c>
      <c r="C205" t="s">
        <v>313</v>
      </c>
      <c r="D205" t="s">
        <v>319</v>
      </c>
      <c r="E205" t="s">
        <v>363</v>
      </c>
      <c r="F205" t="s">
        <v>332</v>
      </c>
      <c r="G205" t="s">
        <v>335</v>
      </c>
      <c r="H205" t="s">
        <v>345</v>
      </c>
      <c r="I205">
        <v>2</v>
      </c>
      <c r="J205" s="9">
        <v>40216</v>
      </c>
      <c r="K205" s="9">
        <f t="shared" si="9"/>
        <v>80432</v>
      </c>
      <c r="L205" t="str">
        <f t="shared" si="10"/>
        <v>Jan-2024</v>
      </c>
      <c r="M205" t="str">
        <f t="shared" si="11"/>
        <v>Q1</v>
      </c>
    </row>
    <row r="206" spans="1:13" x14ac:dyDescent="0.3">
      <c r="A206" t="s">
        <v>214</v>
      </c>
      <c r="B206" s="3">
        <v>45590</v>
      </c>
      <c r="C206" t="s">
        <v>310</v>
      </c>
      <c r="D206" t="s">
        <v>322</v>
      </c>
      <c r="E206" t="s">
        <v>328</v>
      </c>
      <c r="F206" t="s">
        <v>333</v>
      </c>
      <c r="G206" t="s">
        <v>338</v>
      </c>
      <c r="H206" t="s">
        <v>354</v>
      </c>
      <c r="I206">
        <v>3</v>
      </c>
      <c r="J206" s="9">
        <v>37256</v>
      </c>
      <c r="K206" s="9">
        <f t="shared" si="9"/>
        <v>111768</v>
      </c>
      <c r="L206" t="str">
        <f t="shared" si="10"/>
        <v>Oct-2024</v>
      </c>
      <c r="M206" t="str">
        <f t="shared" si="11"/>
        <v>Q4</v>
      </c>
    </row>
    <row r="207" spans="1:13" x14ac:dyDescent="0.3">
      <c r="A207" t="s">
        <v>215</v>
      </c>
      <c r="B207" s="3">
        <v>45493</v>
      </c>
      <c r="C207" t="s">
        <v>311</v>
      </c>
      <c r="D207" t="s">
        <v>315</v>
      </c>
      <c r="E207" t="s">
        <v>329</v>
      </c>
      <c r="F207" t="s">
        <v>333</v>
      </c>
      <c r="G207" t="s">
        <v>337</v>
      </c>
      <c r="H207" t="s">
        <v>347</v>
      </c>
      <c r="I207">
        <v>12</v>
      </c>
      <c r="J207" s="9">
        <v>31043</v>
      </c>
      <c r="K207" s="9">
        <f t="shared" si="9"/>
        <v>372516</v>
      </c>
      <c r="L207" t="str">
        <f t="shared" si="10"/>
        <v>Jul-2024</v>
      </c>
      <c r="M207" t="str">
        <f t="shared" si="11"/>
        <v>Q3</v>
      </c>
    </row>
    <row r="208" spans="1:13" x14ac:dyDescent="0.3">
      <c r="A208" t="s">
        <v>216</v>
      </c>
      <c r="B208" s="3">
        <v>45447</v>
      </c>
      <c r="C208" t="s">
        <v>312</v>
      </c>
      <c r="D208" t="s">
        <v>325</v>
      </c>
      <c r="E208" t="s">
        <v>328</v>
      </c>
      <c r="F208" t="s">
        <v>333</v>
      </c>
      <c r="G208" t="s">
        <v>342</v>
      </c>
      <c r="H208" t="s">
        <v>355</v>
      </c>
      <c r="I208">
        <v>11</v>
      </c>
      <c r="J208" s="9">
        <v>9990</v>
      </c>
      <c r="K208" s="9">
        <f t="shared" si="9"/>
        <v>109890</v>
      </c>
      <c r="L208" t="str">
        <f t="shared" si="10"/>
        <v>Jun-2024</v>
      </c>
      <c r="M208" t="str">
        <f t="shared" si="11"/>
        <v>Q2</v>
      </c>
    </row>
    <row r="209" spans="1:13" x14ac:dyDescent="0.3">
      <c r="A209" t="s">
        <v>217</v>
      </c>
      <c r="B209" s="3">
        <v>45492</v>
      </c>
      <c r="C209" t="s">
        <v>313</v>
      </c>
      <c r="D209" t="s">
        <v>323</v>
      </c>
      <c r="E209" t="s">
        <v>328</v>
      </c>
      <c r="F209" t="s">
        <v>332</v>
      </c>
      <c r="G209" t="s">
        <v>340</v>
      </c>
      <c r="H209" t="s">
        <v>350</v>
      </c>
      <c r="I209">
        <v>1</v>
      </c>
      <c r="J209" s="9">
        <v>37925</v>
      </c>
      <c r="K209" s="9">
        <f t="shared" si="9"/>
        <v>37925</v>
      </c>
      <c r="L209" t="str">
        <f t="shared" si="10"/>
        <v>Jul-2024</v>
      </c>
      <c r="M209" t="str">
        <f t="shared" si="11"/>
        <v>Q3</v>
      </c>
    </row>
    <row r="210" spans="1:13" x14ac:dyDescent="0.3">
      <c r="A210" t="s">
        <v>218</v>
      </c>
      <c r="B210" s="3">
        <v>45343</v>
      </c>
      <c r="C210" t="s">
        <v>312</v>
      </c>
      <c r="D210" t="s">
        <v>321</v>
      </c>
      <c r="E210" t="s">
        <v>329</v>
      </c>
      <c r="F210" t="s">
        <v>332</v>
      </c>
      <c r="G210" t="s">
        <v>336</v>
      </c>
      <c r="H210" t="s">
        <v>346</v>
      </c>
      <c r="I210">
        <v>11</v>
      </c>
      <c r="J210" s="9">
        <v>24339</v>
      </c>
      <c r="K210" s="9">
        <f t="shared" si="9"/>
        <v>267729</v>
      </c>
      <c r="L210" t="str">
        <f t="shared" si="10"/>
        <v>Feb-2024</v>
      </c>
      <c r="M210" t="str">
        <f t="shared" si="11"/>
        <v>Q1</v>
      </c>
    </row>
    <row r="211" spans="1:13" x14ac:dyDescent="0.3">
      <c r="A211" t="s">
        <v>219</v>
      </c>
      <c r="B211" s="3">
        <v>45540</v>
      </c>
      <c r="C211" t="s">
        <v>312</v>
      </c>
      <c r="D211" t="s">
        <v>363</v>
      </c>
      <c r="E211" t="s">
        <v>327</v>
      </c>
      <c r="F211" t="s">
        <v>333</v>
      </c>
      <c r="G211" t="s">
        <v>337</v>
      </c>
      <c r="H211" t="s">
        <v>347</v>
      </c>
      <c r="I211">
        <v>18</v>
      </c>
      <c r="J211" s="9">
        <v>29442</v>
      </c>
      <c r="K211" s="9">
        <f t="shared" si="9"/>
        <v>529956</v>
      </c>
      <c r="L211" t="str">
        <f t="shared" si="10"/>
        <v>Sep-2024</v>
      </c>
      <c r="M211" t="str">
        <f t="shared" si="11"/>
        <v>Q3</v>
      </c>
    </row>
    <row r="212" spans="1:13" x14ac:dyDescent="0.3">
      <c r="A212" t="s">
        <v>220</v>
      </c>
      <c r="B212" s="3">
        <v>45458</v>
      </c>
      <c r="C212" t="s">
        <v>313</v>
      </c>
      <c r="D212" t="s">
        <v>319</v>
      </c>
      <c r="E212" t="s">
        <v>329</v>
      </c>
      <c r="F212" t="s">
        <v>332</v>
      </c>
      <c r="G212" t="s">
        <v>335</v>
      </c>
      <c r="H212" t="s">
        <v>344</v>
      </c>
      <c r="I212">
        <v>7</v>
      </c>
      <c r="J212" s="9">
        <v>9777</v>
      </c>
      <c r="K212" s="9">
        <f t="shared" si="9"/>
        <v>68439</v>
      </c>
      <c r="L212" t="str">
        <f t="shared" si="10"/>
        <v>Jun-2024</v>
      </c>
      <c r="M212" t="str">
        <f t="shared" si="11"/>
        <v>Q2</v>
      </c>
    </row>
    <row r="213" spans="1:13" x14ac:dyDescent="0.3">
      <c r="A213" t="s">
        <v>221</v>
      </c>
      <c r="B213" s="3">
        <v>45552</v>
      </c>
      <c r="C213" t="s">
        <v>310</v>
      </c>
      <c r="D213" t="s">
        <v>314</v>
      </c>
      <c r="E213" t="s">
        <v>326</v>
      </c>
      <c r="F213" t="s">
        <v>331</v>
      </c>
      <c r="G213" t="s">
        <v>334</v>
      </c>
      <c r="H213" t="s">
        <v>353</v>
      </c>
      <c r="I213">
        <v>12</v>
      </c>
      <c r="J213" s="9">
        <v>22575</v>
      </c>
      <c r="K213" s="9">
        <f t="shared" si="9"/>
        <v>270900</v>
      </c>
      <c r="L213" t="str">
        <f t="shared" si="10"/>
        <v>Sep-2024</v>
      </c>
      <c r="M213" t="str">
        <f t="shared" si="11"/>
        <v>Q3</v>
      </c>
    </row>
    <row r="214" spans="1:13" x14ac:dyDescent="0.3">
      <c r="A214" t="s">
        <v>222</v>
      </c>
      <c r="B214" s="3">
        <v>45614</v>
      </c>
      <c r="C214" t="s">
        <v>313</v>
      </c>
      <c r="D214" t="s">
        <v>319</v>
      </c>
      <c r="E214" t="s">
        <v>330</v>
      </c>
      <c r="F214" t="s">
        <v>333</v>
      </c>
      <c r="G214" t="s">
        <v>342</v>
      </c>
      <c r="H214" t="s">
        <v>352</v>
      </c>
      <c r="I214">
        <v>9</v>
      </c>
      <c r="J214" s="9">
        <v>49653</v>
      </c>
      <c r="K214" s="9">
        <f t="shared" si="9"/>
        <v>446877</v>
      </c>
      <c r="L214" t="str">
        <f t="shared" si="10"/>
        <v>Nov-2024</v>
      </c>
      <c r="M214" t="str">
        <f t="shared" si="11"/>
        <v>Q4</v>
      </c>
    </row>
    <row r="215" spans="1:13" x14ac:dyDescent="0.3">
      <c r="A215" t="s">
        <v>223</v>
      </c>
      <c r="B215" s="3">
        <v>45330</v>
      </c>
      <c r="C215" t="s">
        <v>311</v>
      </c>
      <c r="D215" t="s">
        <v>318</v>
      </c>
      <c r="E215" t="s">
        <v>330</v>
      </c>
      <c r="F215" t="s">
        <v>333</v>
      </c>
      <c r="G215" t="s">
        <v>337</v>
      </c>
      <c r="H215" t="s">
        <v>347</v>
      </c>
      <c r="I215">
        <v>9</v>
      </c>
      <c r="J215" s="9">
        <v>27318</v>
      </c>
      <c r="K215" s="9">
        <f t="shared" si="9"/>
        <v>245862</v>
      </c>
      <c r="L215" t="str">
        <f t="shared" si="10"/>
        <v>Feb-2024</v>
      </c>
      <c r="M215" t="str">
        <f t="shared" si="11"/>
        <v>Q1</v>
      </c>
    </row>
    <row r="216" spans="1:13" x14ac:dyDescent="0.3">
      <c r="A216" t="s">
        <v>224</v>
      </c>
      <c r="B216" s="3">
        <v>45412</v>
      </c>
      <c r="C216" t="s">
        <v>312</v>
      </c>
      <c r="D216" t="s">
        <v>363</v>
      </c>
      <c r="E216" t="s">
        <v>330</v>
      </c>
      <c r="F216" t="s">
        <v>333</v>
      </c>
      <c r="G216" t="s">
        <v>337</v>
      </c>
      <c r="H216" t="s">
        <v>347</v>
      </c>
      <c r="I216">
        <v>4</v>
      </c>
      <c r="J216" s="9">
        <v>18361</v>
      </c>
      <c r="K216" s="9">
        <f t="shared" si="9"/>
        <v>73444</v>
      </c>
      <c r="L216" t="str">
        <f t="shared" si="10"/>
        <v>Apr-2024</v>
      </c>
      <c r="M216" t="str">
        <f t="shared" si="11"/>
        <v>Q2</v>
      </c>
    </row>
    <row r="217" spans="1:13" x14ac:dyDescent="0.3">
      <c r="A217" t="s">
        <v>225</v>
      </c>
      <c r="B217" s="3">
        <v>45396</v>
      </c>
      <c r="C217" t="s">
        <v>311</v>
      </c>
      <c r="D217" t="s">
        <v>315</v>
      </c>
      <c r="E217" t="s">
        <v>328</v>
      </c>
      <c r="F217" t="s">
        <v>332</v>
      </c>
      <c r="G217" t="s">
        <v>336</v>
      </c>
      <c r="H217" t="s">
        <v>346</v>
      </c>
      <c r="I217">
        <v>3</v>
      </c>
      <c r="J217" s="9">
        <v>36291</v>
      </c>
      <c r="K217" s="9">
        <f t="shared" si="9"/>
        <v>108873</v>
      </c>
      <c r="L217" t="str">
        <f t="shared" si="10"/>
        <v>Apr-2024</v>
      </c>
      <c r="M217" t="str">
        <f t="shared" si="11"/>
        <v>Q2</v>
      </c>
    </row>
    <row r="218" spans="1:13" x14ac:dyDescent="0.3">
      <c r="A218" t="s">
        <v>226</v>
      </c>
      <c r="B218" s="3">
        <v>45310</v>
      </c>
      <c r="C218" t="s">
        <v>313</v>
      </c>
      <c r="D218" t="s">
        <v>324</v>
      </c>
      <c r="E218" t="s">
        <v>326</v>
      </c>
      <c r="F218" t="s">
        <v>333</v>
      </c>
      <c r="G218" t="s">
        <v>337</v>
      </c>
      <c r="H218" t="s">
        <v>347</v>
      </c>
      <c r="I218">
        <v>12</v>
      </c>
      <c r="J218" s="9">
        <v>49186</v>
      </c>
      <c r="K218" s="9">
        <f t="shared" si="9"/>
        <v>590232</v>
      </c>
      <c r="L218" t="str">
        <f t="shared" si="10"/>
        <v>Jan-2024</v>
      </c>
      <c r="M218" t="str">
        <f t="shared" si="11"/>
        <v>Q1</v>
      </c>
    </row>
    <row r="219" spans="1:13" x14ac:dyDescent="0.3">
      <c r="A219" t="s">
        <v>227</v>
      </c>
      <c r="B219" s="3">
        <v>45577</v>
      </c>
      <c r="C219" t="s">
        <v>312</v>
      </c>
      <c r="D219" t="s">
        <v>321</v>
      </c>
      <c r="E219" t="s">
        <v>327</v>
      </c>
      <c r="F219" t="s">
        <v>333</v>
      </c>
      <c r="G219" t="s">
        <v>338</v>
      </c>
      <c r="H219" t="s">
        <v>354</v>
      </c>
      <c r="I219">
        <v>19</v>
      </c>
      <c r="J219" s="9">
        <v>46210</v>
      </c>
      <c r="K219" s="9">
        <f t="shared" si="9"/>
        <v>877990</v>
      </c>
      <c r="L219" t="str">
        <f t="shared" si="10"/>
        <v>Oct-2024</v>
      </c>
      <c r="M219" t="str">
        <f t="shared" si="11"/>
        <v>Q4</v>
      </c>
    </row>
    <row r="220" spans="1:13" x14ac:dyDescent="0.3">
      <c r="A220" t="s">
        <v>228</v>
      </c>
      <c r="B220" s="3">
        <v>45592</v>
      </c>
      <c r="C220" t="s">
        <v>311</v>
      </c>
      <c r="D220" t="s">
        <v>315</v>
      </c>
      <c r="E220" t="s">
        <v>330</v>
      </c>
      <c r="F220" t="s">
        <v>331</v>
      </c>
      <c r="G220" t="s">
        <v>339</v>
      </c>
      <c r="H220" t="s">
        <v>357</v>
      </c>
      <c r="I220">
        <v>19</v>
      </c>
      <c r="J220" s="9">
        <v>33376</v>
      </c>
      <c r="K220" s="9">
        <f t="shared" si="9"/>
        <v>634144</v>
      </c>
      <c r="L220" t="str">
        <f t="shared" si="10"/>
        <v>Oct-2024</v>
      </c>
      <c r="M220" t="str">
        <f t="shared" si="11"/>
        <v>Q4</v>
      </c>
    </row>
    <row r="221" spans="1:13" x14ac:dyDescent="0.3">
      <c r="A221" t="s">
        <v>229</v>
      </c>
      <c r="B221" s="3">
        <v>45320</v>
      </c>
      <c r="C221" t="s">
        <v>312</v>
      </c>
      <c r="D221" t="s">
        <v>325</v>
      </c>
      <c r="E221" t="s">
        <v>329</v>
      </c>
      <c r="F221" t="s">
        <v>333</v>
      </c>
      <c r="G221" t="s">
        <v>338</v>
      </c>
      <c r="H221" t="s">
        <v>354</v>
      </c>
      <c r="I221">
        <v>15</v>
      </c>
      <c r="J221" s="9">
        <v>22149</v>
      </c>
      <c r="K221" s="9">
        <f t="shared" si="9"/>
        <v>332235</v>
      </c>
      <c r="L221" t="str">
        <f t="shared" si="10"/>
        <v>Jan-2024</v>
      </c>
      <c r="M221" t="str">
        <f t="shared" si="11"/>
        <v>Q1</v>
      </c>
    </row>
    <row r="222" spans="1:13" x14ac:dyDescent="0.3">
      <c r="A222" t="s">
        <v>230</v>
      </c>
      <c r="B222" s="3">
        <v>45542</v>
      </c>
      <c r="C222" t="s">
        <v>313</v>
      </c>
      <c r="D222" t="s">
        <v>323</v>
      </c>
      <c r="E222" t="s">
        <v>327</v>
      </c>
      <c r="F222" t="s">
        <v>332</v>
      </c>
      <c r="G222" t="s">
        <v>335</v>
      </c>
      <c r="H222" t="s">
        <v>344</v>
      </c>
      <c r="I222">
        <v>6</v>
      </c>
      <c r="J222" s="9">
        <v>16801</v>
      </c>
      <c r="K222" s="9">
        <f t="shared" si="9"/>
        <v>100806</v>
      </c>
      <c r="L222" t="str">
        <f t="shared" si="10"/>
        <v>Sep-2024</v>
      </c>
      <c r="M222" t="str">
        <f t="shared" si="11"/>
        <v>Q3</v>
      </c>
    </row>
    <row r="223" spans="1:13" x14ac:dyDescent="0.3">
      <c r="A223" t="s">
        <v>231</v>
      </c>
      <c r="B223" s="3">
        <v>45380</v>
      </c>
      <c r="C223" t="s">
        <v>312</v>
      </c>
      <c r="D223" t="s">
        <v>321</v>
      </c>
      <c r="E223" t="s">
        <v>327</v>
      </c>
      <c r="F223" t="s">
        <v>331</v>
      </c>
      <c r="G223" t="s">
        <v>339</v>
      </c>
      <c r="H223" t="s">
        <v>349</v>
      </c>
      <c r="I223">
        <v>17</v>
      </c>
      <c r="J223" s="9">
        <v>13323</v>
      </c>
      <c r="K223" s="9">
        <f t="shared" si="9"/>
        <v>226491</v>
      </c>
      <c r="L223" t="str">
        <f t="shared" si="10"/>
        <v>Mar-2024</v>
      </c>
      <c r="M223" t="str">
        <f t="shared" si="11"/>
        <v>Q1</v>
      </c>
    </row>
    <row r="224" spans="1:13" x14ac:dyDescent="0.3">
      <c r="A224" t="s">
        <v>232</v>
      </c>
      <c r="B224" s="3">
        <v>45551</v>
      </c>
      <c r="C224" t="s">
        <v>310</v>
      </c>
      <c r="D224" t="s">
        <v>320</v>
      </c>
      <c r="E224" t="s">
        <v>329</v>
      </c>
      <c r="F224" t="s">
        <v>333</v>
      </c>
      <c r="G224" t="s">
        <v>342</v>
      </c>
      <c r="H224" t="s">
        <v>355</v>
      </c>
      <c r="I224">
        <v>11</v>
      </c>
      <c r="J224" s="9">
        <v>25888</v>
      </c>
      <c r="K224" s="9">
        <f t="shared" si="9"/>
        <v>284768</v>
      </c>
      <c r="L224" t="str">
        <f t="shared" si="10"/>
        <v>Sep-2024</v>
      </c>
      <c r="M224" t="str">
        <f t="shared" si="11"/>
        <v>Q3</v>
      </c>
    </row>
    <row r="225" spans="1:13" x14ac:dyDescent="0.3">
      <c r="A225" t="s">
        <v>233</v>
      </c>
      <c r="B225" s="3">
        <v>45642</v>
      </c>
      <c r="C225" t="s">
        <v>312</v>
      </c>
      <c r="D225" t="s">
        <v>321</v>
      </c>
      <c r="E225" t="s">
        <v>328</v>
      </c>
      <c r="F225" t="s">
        <v>332</v>
      </c>
      <c r="G225" t="s">
        <v>335</v>
      </c>
      <c r="H225" t="s">
        <v>344</v>
      </c>
      <c r="I225">
        <v>10</v>
      </c>
      <c r="J225" s="9">
        <v>38293</v>
      </c>
      <c r="K225" s="9">
        <f t="shared" si="9"/>
        <v>382930</v>
      </c>
      <c r="L225" t="str">
        <f t="shared" si="10"/>
        <v>Dec-2024</v>
      </c>
      <c r="M225" t="str">
        <f t="shared" si="11"/>
        <v>Q4</v>
      </c>
    </row>
    <row r="226" spans="1:13" x14ac:dyDescent="0.3">
      <c r="A226" t="s">
        <v>234</v>
      </c>
      <c r="B226" s="3">
        <v>45541</v>
      </c>
      <c r="C226" t="s">
        <v>311</v>
      </c>
      <c r="D226" t="s">
        <v>318</v>
      </c>
      <c r="E226" t="s">
        <v>327</v>
      </c>
      <c r="F226" t="s">
        <v>333</v>
      </c>
      <c r="G226" t="s">
        <v>338</v>
      </c>
      <c r="H226" t="s">
        <v>354</v>
      </c>
      <c r="I226">
        <v>4</v>
      </c>
      <c r="J226" s="9">
        <v>43398</v>
      </c>
      <c r="K226" s="9">
        <f t="shared" si="9"/>
        <v>173592</v>
      </c>
      <c r="L226" t="str">
        <f t="shared" si="10"/>
        <v>Sep-2024</v>
      </c>
      <c r="M226" t="str">
        <f t="shared" si="11"/>
        <v>Q3</v>
      </c>
    </row>
    <row r="227" spans="1:13" x14ac:dyDescent="0.3">
      <c r="A227" t="s">
        <v>235</v>
      </c>
      <c r="B227" s="3">
        <v>45329</v>
      </c>
      <c r="C227" t="s">
        <v>311</v>
      </c>
      <c r="D227" t="s">
        <v>318</v>
      </c>
      <c r="E227" t="s">
        <v>326</v>
      </c>
      <c r="F227" t="s">
        <v>332</v>
      </c>
      <c r="G227" t="s">
        <v>340</v>
      </c>
      <c r="H227" t="s">
        <v>350</v>
      </c>
      <c r="I227">
        <v>7</v>
      </c>
      <c r="J227" s="9">
        <v>46181</v>
      </c>
      <c r="K227" s="9">
        <f t="shared" si="9"/>
        <v>323267</v>
      </c>
      <c r="L227" t="str">
        <f t="shared" si="10"/>
        <v>Feb-2024</v>
      </c>
      <c r="M227" t="str">
        <f t="shared" si="11"/>
        <v>Q1</v>
      </c>
    </row>
    <row r="228" spans="1:13" x14ac:dyDescent="0.3">
      <c r="A228" t="s">
        <v>236</v>
      </c>
      <c r="B228" s="3">
        <v>45599</v>
      </c>
      <c r="C228" t="s">
        <v>311</v>
      </c>
      <c r="D228" t="s">
        <v>318</v>
      </c>
      <c r="E228" t="s">
        <v>328</v>
      </c>
      <c r="F228" t="s">
        <v>332</v>
      </c>
      <c r="G228" t="s">
        <v>336</v>
      </c>
      <c r="H228" t="s">
        <v>346</v>
      </c>
      <c r="I228">
        <v>15</v>
      </c>
      <c r="J228" s="9">
        <v>39765</v>
      </c>
      <c r="K228" s="9">
        <f t="shared" si="9"/>
        <v>596475</v>
      </c>
      <c r="L228" t="str">
        <f t="shared" si="10"/>
        <v>Nov-2024</v>
      </c>
      <c r="M228" t="str">
        <f t="shared" si="11"/>
        <v>Q4</v>
      </c>
    </row>
    <row r="229" spans="1:13" x14ac:dyDescent="0.3">
      <c r="A229" t="s">
        <v>237</v>
      </c>
      <c r="B229" s="3">
        <v>45580</v>
      </c>
      <c r="C229" t="s">
        <v>311</v>
      </c>
      <c r="D229" t="s">
        <v>315</v>
      </c>
      <c r="E229" t="s">
        <v>326</v>
      </c>
      <c r="F229" t="s">
        <v>333</v>
      </c>
      <c r="G229" t="s">
        <v>337</v>
      </c>
      <c r="H229" t="s">
        <v>347</v>
      </c>
      <c r="I229">
        <v>20</v>
      </c>
      <c r="J229" s="9">
        <v>35570</v>
      </c>
      <c r="K229" s="9">
        <f t="shared" si="9"/>
        <v>711400</v>
      </c>
      <c r="L229" t="str">
        <f t="shared" si="10"/>
        <v>Oct-2024</v>
      </c>
      <c r="M229" t="str">
        <f t="shared" si="11"/>
        <v>Q4</v>
      </c>
    </row>
    <row r="230" spans="1:13" x14ac:dyDescent="0.3">
      <c r="A230" t="s">
        <v>238</v>
      </c>
      <c r="B230" s="3">
        <v>45526</v>
      </c>
      <c r="C230" t="s">
        <v>313</v>
      </c>
      <c r="D230" t="s">
        <v>324</v>
      </c>
      <c r="E230" t="s">
        <v>326</v>
      </c>
      <c r="F230" t="s">
        <v>333</v>
      </c>
      <c r="G230" t="s">
        <v>342</v>
      </c>
      <c r="H230" t="s">
        <v>352</v>
      </c>
      <c r="I230">
        <v>12</v>
      </c>
      <c r="J230" s="9">
        <v>15413</v>
      </c>
      <c r="K230" s="9">
        <f t="shared" si="9"/>
        <v>184956</v>
      </c>
      <c r="L230" t="str">
        <f t="shared" si="10"/>
        <v>Aug-2024</v>
      </c>
      <c r="M230" t="str">
        <f t="shared" si="11"/>
        <v>Q3</v>
      </c>
    </row>
    <row r="231" spans="1:13" x14ac:dyDescent="0.3">
      <c r="A231" t="s">
        <v>239</v>
      </c>
      <c r="B231" s="3">
        <v>45648</v>
      </c>
      <c r="C231" t="s">
        <v>311</v>
      </c>
      <c r="D231" t="s">
        <v>315</v>
      </c>
      <c r="E231" t="s">
        <v>330</v>
      </c>
      <c r="F231" t="s">
        <v>332</v>
      </c>
      <c r="G231" t="s">
        <v>340</v>
      </c>
      <c r="H231" t="s">
        <v>350</v>
      </c>
      <c r="I231">
        <v>13</v>
      </c>
      <c r="J231" s="9">
        <v>28862</v>
      </c>
      <c r="K231" s="9">
        <f t="shared" si="9"/>
        <v>375206</v>
      </c>
      <c r="L231" t="str">
        <f t="shared" si="10"/>
        <v>Dec-2024</v>
      </c>
      <c r="M231" t="str">
        <f t="shared" si="11"/>
        <v>Q4</v>
      </c>
    </row>
    <row r="232" spans="1:13" x14ac:dyDescent="0.3">
      <c r="A232" t="s">
        <v>240</v>
      </c>
      <c r="B232" s="3">
        <v>45422</v>
      </c>
      <c r="C232" t="s">
        <v>312</v>
      </c>
      <c r="D232" t="s">
        <v>325</v>
      </c>
      <c r="E232" t="s">
        <v>328</v>
      </c>
      <c r="F232" t="s">
        <v>331</v>
      </c>
      <c r="G232" t="s">
        <v>334</v>
      </c>
      <c r="H232" t="s">
        <v>343</v>
      </c>
      <c r="I232">
        <v>2</v>
      </c>
      <c r="J232" s="9">
        <v>20282</v>
      </c>
      <c r="K232" s="9">
        <f t="shared" si="9"/>
        <v>40564</v>
      </c>
      <c r="L232" t="str">
        <f t="shared" si="10"/>
        <v>May-2024</v>
      </c>
      <c r="M232" t="str">
        <f t="shared" si="11"/>
        <v>Q2</v>
      </c>
    </row>
    <row r="233" spans="1:13" x14ac:dyDescent="0.3">
      <c r="A233" t="s">
        <v>241</v>
      </c>
      <c r="B233" s="3">
        <v>45593</v>
      </c>
      <c r="C233" t="s">
        <v>311</v>
      </c>
      <c r="D233" t="s">
        <v>315</v>
      </c>
      <c r="E233" t="s">
        <v>327</v>
      </c>
      <c r="F233" t="s">
        <v>333</v>
      </c>
      <c r="G233" t="s">
        <v>338</v>
      </c>
      <c r="H233" t="s">
        <v>348</v>
      </c>
      <c r="I233">
        <v>7</v>
      </c>
      <c r="J233" s="9">
        <v>47162</v>
      </c>
      <c r="K233" s="9">
        <f t="shared" si="9"/>
        <v>330134</v>
      </c>
      <c r="L233" t="str">
        <f t="shared" si="10"/>
        <v>Oct-2024</v>
      </c>
      <c r="M233" t="str">
        <f t="shared" si="11"/>
        <v>Q4</v>
      </c>
    </row>
    <row r="234" spans="1:13" x14ac:dyDescent="0.3">
      <c r="A234" t="s">
        <v>242</v>
      </c>
      <c r="B234" s="3">
        <v>45357</v>
      </c>
      <c r="C234" t="s">
        <v>312</v>
      </c>
      <c r="D234" t="s">
        <v>317</v>
      </c>
      <c r="E234" t="s">
        <v>329</v>
      </c>
      <c r="F234" t="s">
        <v>331</v>
      </c>
      <c r="G234" t="s">
        <v>341</v>
      </c>
      <c r="H234" t="s">
        <v>358</v>
      </c>
      <c r="I234">
        <v>14</v>
      </c>
      <c r="J234" s="9">
        <v>40008</v>
      </c>
      <c r="K234" s="9">
        <f t="shared" si="9"/>
        <v>560112</v>
      </c>
      <c r="L234" t="str">
        <f t="shared" si="10"/>
        <v>Mar-2024</v>
      </c>
      <c r="M234" t="str">
        <f t="shared" si="11"/>
        <v>Q1</v>
      </c>
    </row>
    <row r="235" spans="1:13" x14ac:dyDescent="0.3">
      <c r="A235" t="s">
        <v>243</v>
      </c>
      <c r="B235" s="3">
        <v>45550</v>
      </c>
      <c r="C235" t="s">
        <v>313</v>
      </c>
      <c r="D235" t="s">
        <v>323</v>
      </c>
      <c r="E235" t="s">
        <v>328</v>
      </c>
      <c r="F235" t="s">
        <v>331</v>
      </c>
      <c r="G235" t="s">
        <v>341</v>
      </c>
      <c r="H235" t="s">
        <v>358</v>
      </c>
      <c r="I235">
        <v>12</v>
      </c>
      <c r="J235" s="9">
        <v>20025</v>
      </c>
      <c r="K235" s="9">
        <f t="shared" si="9"/>
        <v>240300</v>
      </c>
      <c r="L235" t="str">
        <f t="shared" si="10"/>
        <v>Sep-2024</v>
      </c>
      <c r="M235" t="str">
        <f t="shared" si="11"/>
        <v>Q3</v>
      </c>
    </row>
    <row r="236" spans="1:13" x14ac:dyDescent="0.3">
      <c r="A236" t="s">
        <v>244</v>
      </c>
      <c r="B236" s="3">
        <v>45329</v>
      </c>
      <c r="C236" t="s">
        <v>313</v>
      </c>
      <c r="D236" t="s">
        <v>324</v>
      </c>
      <c r="E236" t="s">
        <v>330</v>
      </c>
      <c r="F236" t="s">
        <v>333</v>
      </c>
      <c r="G236" t="s">
        <v>337</v>
      </c>
      <c r="H236" t="s">
        <v>347</v>
      </c>
      <c r="I236">
        <v>14</v>
      </c>
      <c r="J236" s="9">
        <v>15378</v>
      </c>
      <c r="K236" s="9">
        <f t="shared" si="9"/>
        <v>215292</v>
      </c>
      <c r="L236" t="str">
        <f t="shared" si="10"/>
        <v>Feb-2024</v>
      </c>
      <c r="M236" t="str">
        <f t="shared" si="11"/>
        <v>Q1</v>
      </c>
    </row>
    <row r="237" spans="1:13" x14ac:dyDescent="0.3">
      <c r="A237" t="s">
        <v>245</v>
      </c>
      <c r="B237" s="3">
        <v>45416</v>
      </c>
      <c r="C237" t="s">
        <v>312</v>
      </c>
      <c r="D237" t="s">
        <v>325</v>
      </c>
      <c r="E237" t="s">
        <v>326</v>
      </c>
      <c r="F237" t="s">
        <v>331</v>
      </c>
      <c r="G237" t="s">
        <v>341</v>
      </c>
      <c r="H237" t="s">
        <v>358</v>
      </c>
      <c r="I237">
        <v>13</v>
      </c>
      <c r="J237" s="9">
        <v>13972</v>
      </c>
      <c r="K237" s="9">
        <f t="shared" si="9"/>
        <v>181636</v>
      </c>
      <c r="L237" t="str">
        <f t="shared" si="10"/>
        <v>May-2024</v>
      </c>
      <c r="M237" t="str">
        <f t="shared" si="11"/>
        <v>Q2</v>
      </c>
    </row>
    <row r="238" spans="1:13" x14ac:dyDescent="0.3">
      <c r="A238" t="s">
        <v>246</v>
      </c>
      <c r="B238" s="3">
        <v>45292</v>
      </c>
      <c r="C238" t="s">
        <v>310</v>
      </c>
      <c r="D238" t="s">
        <v>314</v>
      </c>
      <c r="E238" t="s">
        <v>329</v>
      </c>
      <c r="F238" t="s">
        <v>333</v>
      </c>
      <c r="G238" t="s">
        <v>337</v>
      </c>
      <c r="H238" t="s">
        <v>347</v>
      </c>
      <c r="I238">
        <v>15</v>
      </c>
      <c r="J238" s="9">
        <v>32831</v>
      </c>
      <c r="K238" s="9">
        <f t="shared" si="9"/>
        <v>492465</v>
      </c>
      <c r="L238" t="str">
        <f t="shared" si="10"/>
        <v>Jan-2024</v>
      </c>
      <c r="M238" t="str">
        <f t="shared" si="11"/>
        <v>Q1</v>
      </c>
    </row>
    <row r="239" spans="1:13" x14ac:dyDescent="0.3">
      <c r="A239" t="s">
        <v>247</v>
      </c>
      <c r="B239" s="3">
        <v>45515</v>
      </c>
      <c r="C239" t="s">
        <v>310</v>
      </c>
      <c r="D239" t="s">
        <v>314</v>
      </c>
      <c r="E239" t="s">
        <v>328</v>
      </c>
      <c r="F239" t="s">
        <v>331</v>
      </c>
      <c r="G239" t="s">
        <v>339</v>
      </c>
      <c r="H239" t="s">
        <v>356</v>
      </c>
      <c r="I239">
        <v>11</v>
      </c>
      <c r="J239" s="9">
        <v>33833</v>
      </c>
      <c r="K239" s="9">
        <f t="shared" si="9"/>
        <v>372163</v>
      </c>
      <c r="L239" t="str">
        <f t="shared" si="10"/>
        <v>Aug-2024</v>
      </c>
      <c r="M239" t="str">
        <f t="shared" si="11"/>
        <v>Q3</v>
      </c>
    </row>
    <row r="240" spans="1:13" x14ac:dyDescent="0.3">
      <c r="A240" t="s">
        <v>248</v>
      </c>
      <c r="B240" s="3">
        <v>45572</v>
      </c>
      <c r="C240" t="s">
        <v>311</v>
      </c>
      <c r="D240" t="s">
        <v>316</v>
      </c>
      <c r="E240" t="s">
        <v>329</v>
      </c>
      <c r="F240" t="s">
        <v>332</v>
      </c>
      <c r="G240" t="s">
        <v>335</v>
      </c>
      <c r="H240" t="s">
        <v>345</v>
      </c>
      <c r="I240">
        <v>14</v>
      </c>
      <c r="J240" s="9">
        <v>940</v>
      </c>
      <c r="K240" s="9">
        <f t="shared" si="9"/>
        <v>13160</v>
      </c>
      <c r="L240" t="str">
        <f t="shared" si="10"/>
        <v>Oct-2024</v>
      </c>
      <c r="M240" t="str">
        <f t="shared" si="11"/>
        <v>Q4</v>
      </c>
    </row>
    <row r="241" spans="1:13" x14ac:dyDescent="0.3">
      <c r="A241" t="s">
        <v>249</v>
      </c>
      <c r="B241" s="3">
        <v>45548</v>
      </c>
      <c r="C241" t="s">
        <v>313</v>
      </c>
      <c r="D241" t="s">
        <v>323</v>
      </c>
      <c r="E241" t="s">
        <v>330</v>
      </c>
      <c r="F241" t="s">
        <v>332</v>
      </c>
      <c r="G241" t="s">
        <v>340</v>
      </c>
      <c r="H241" t="s">
        <v>350</v>
      </c>
      <c r="I241">
        <v>20</v>
      </c>
      <c r="J241" s="9">
        <v>49214</v>
      </c>
      <c r="K241" s="9">
        <f t="shared" si="9"/>
        <v>984280</v>
      </c>
      <c r="L241" t="str">
        <f t="shared" si="10"/>
        <v>Sep-2024</v>
      </c>
      <c r="M241" t="str">
        <f t="shared" si="11"/>
        <v>Q3</v>
      </c>
    </row>
    <row r="242" spans="1:13" x14ac:dyDescent="0.3">
      <c r="A242" t="s">
        <v>250</v>
      </c>
      <c r="B242" s="3">
        <v>45344</v>
      </c>
      <c r="C242" t="s">
        <v>313</v>
      </c>
      <c r="D242" t="s">
        <v>324</v>
      </c>
      <c r="E242" t="s">
        <v>328</v>
      </c>
      <c r="F242" t="s">
        <v>333</v>
      </c>
      <c r="G242" t="s">
        <v>342</v>
      </c>
      <c r="H242" t="s">
        <v>352</v>
      </c>
      <c r="I242">
        <v>17</v>
      </c>
      <c r="J242" s="9">
        <v>33897</v>
      </c>
      <c r="K242" s="9">
        <f t="shared" si="9"/>
        <v>576249</v>
      </c>
      <c r="L242" t="str">
        <f t="shared" si="10"/>
        <v>Feb-2024</v>
      </c>
      <c r="M242" t="str">
        <f t="shared" si="11"/>
        <v>Q1</v>
      </c>
    </row>
    <row r="243" spans="1:13" x14ac:dyDescent="0.3">
      <c r="A243" t="s">
        <v>251</v>
      </c>
      <c r="B243" s="3">
        <v>45403</v>
      </c>
      <c r="C243" t="s">
        <v>310</v>
      </c>
      <c r="D243" t="s">
        <v>322</v>
      </c>
      <c r="E243" t="s">
        <v>327</v>
      </c>
      <c r="F243" t="s">
        <v>333</v>
      </c>
      <c r="G243" t="s">
        <v>342</v>
      </c>
      <c r="H243" t="s">
        <v>352</v>
      </c>
      <c r="I243">
        <v>2</v>
      </c>
      <c r="J243" s="9">
        <v>27917</v>
      </c>
      <c r="K243" s="9">
        <f t="shared" si="9"/>
        <v>55834</v>
      </c>
      <c r="L243" t="str">
        <f t="shared" si="10"/>
        <v>Apr-2024</v>
      </c>
      <c r="M243" t="str">
        <f t="shared" si="11"/>
        <v>Q2</v>
      </c>
    </row>
    <row r="244" spans="1:13" x14ac:dyDescent="0.3">
      <c r="A244" t="s">
        <v>252</v>
      </c>
      <c r="B244" s="3">
        <v>45567</v>
      </c>
      <c r="C244" t="s">
        <v>312</v>
      </c>
      <c r="D244" t="s">
        <v>321</v>
      </c>
      <c r="E244" t="s">
        <v>329</v>
      </c>
      <c r="F244" t="s">
        <v>331</v>
      </c>
      <c r="G244" t="s">
        <v>339</v>
      </c>
      <c r="H244" t="s">
        <v>357</v>
      </c>
      <c r="I244">
        <v>11</v>
      </c>
      <c r="J244" s="9">
        <v>1428</v>
      </c>
      <c r="K244" s="9">
        <f t="shared" si="9"/>
        <v>15708</v>
      </c>
      <c r="L244" t="str">
        <f t="shared" si="10"/>
        <v>Oct-2024</v>
      </c>
      <c r="M244" t="str">
        <f t="shared" si="11"/>
        <v>Q4</v>
      </c>
    </row>
    <row r="245" spans="1:13" x14ac:dyDescent="0.3">
      <c r="A245" t="s">
        <v>253</v>
      </c>
      <c r="B245" s="3">
        <v>45428</v>
      </c>
      <c r="C245" t="s">
        <v>312</v>
      </c>
      <c r="D245" t="s">
        <v>325</v>
      </c>
      <c r="E245" t="s">
        <v>329</v>
      </c>
      <c r="F245" t="s">
        <v>331</v>
      </c>
      <c r="G245" t="s">
        <v>334</v>
      </c>
      <c r="H245" t="s">
        <v>343</v>
      </c>
      <c r="I245">
        <v>19</v>
      </c>
      <c r="J245" s="9">
        <v>36288</v>
      </c>
      <c r="K245" s="9">
        <f t="shared" si="9"/>
        <v>689472</v>
      </c>
      <c r="L245" t="str">
        <f t="shared" si="10"/>
        <v>May-2024</v>
      </c>
      <c r="M245" t="str">
        <f t="shared" si="11"/>
        <v>Q2</v>
      </c>
    </row>
    <row r="246" spans="1:13" x14ac:dyDescent="0.3">
      <c r="A246" t="s">
        <v>254</v>
      </c>
      <c r="B246" s="3">
        <v>45322</v>
      </c>
      <c r="C246" t="s">
        <v>313</v>
      </c>
      <c r="D246" t="s">
        <v>323</v>
      </c>
      <c r="E246" t="s">
        <v>330</v>
      </c>
      <c r="F246" t="s">
        <v>331</v>
      </c>
      <c r="G246" t="s">
        <v>339</v>
      </c>
      <c r="H246" t="s">
        <v>356</v>
      </c>
      <c r="I246">
        <v>18</v>
      </c>
      <c r="J246" s="9">
        <v>46111</v>
      </c>
      <c r="K246" s="9">
        <f t="shared" si="9"/>
        <v>829998</v>
      </c>
      <c r="L246" t="str">
        <f t="shared" si="10"/>
        <v>Jan-2024</v>
      </c>
      <c r="M246" t="str">
        <f t="shared" si="11"/>
        <v>Q1</v>
      </c>
    </row>
    <row r="247" spans="1:13" x14ac:dyDescent="0.3">
      <c r="A247" t="s">
        <v>255</v>
      </c>
      <c r="B247" s="3">
        <v>45353</v>
      </c>
      <c r="C247" t="s">
        <v>311</v>
      </c>
      <c r="D247" t="s">
        <v>315</v>
      </c>
      <c r="E247" t="s">
        <v>327</v>
      </c>
      <c r="F247" t="s">
        <v>333</v>
      </c>
      <c r="G247" t="s">
        <v>338</v>
      </c>
      <c r="H247" t="s">
        <v>348</v>
      </c>
      <c r="I247">
        <v>19</v>
      </c>
      <c r="J247" s="9">
        <v>12327</v>
      </c>
      <c r="K247" s="9">
        <f t="shared" si="9"/>
        <v>234213</v>
      </c>
      <c r="L247" t="str">
        <f t="shared" si="10"/>
        <v>Mar-2024</v>
      </c>
      <c r="M247" t="str">
        <f t="shared" si="11"/>
        <v>Q1</v>
      </c>
    </row>
    <row r="248" spans="1:13" x14ac:dyDescent="0.3">
      <c r="A248" t="s">
        <v>256</v>
      </c>
      <c r="B248" s="3">
        <v>45447</v>
      </c>
      <c r="C248" t="s">
        <v>312</v>
      </c>
      <c r="D248" t="s">
        <v>321</v>
      </c>
      <c r="E248" t="s">
        <v>327</v>
      </c>
      <c r="F248" t="s">
        <v>331</v>
      </c>
      <c r="G248" t="s">
        <v>339</v>
      </c>
      <c r="H248" t="s">
        <v>357</v>
      </c>
      <c r="I248">
        <v>2</v>
      </c>
      <c r="J248" s="9">
        <v>20769</v>
      </c>
      <c r="K248" s="9">
        <f t="shared" si="9"/>
        <v>41538</v>
      </c>
      <c r="L248" t="str">
        <f t="shared" si="10"/>
        <v>Jun-2024</v>
      </c>
      <c r="M248" t="str">
        <f t="shared" si="11"/>
        <v>Q2</v>
      </c>
    </row>
    <row r="249" spans="1:13" x14ac:dyDescent="0.3">
      <c r="A249" t="s">
        <v>257</v>
      </c>
      <c r="B249" s="3">
        <v>45314</v>
      </c>
      <c r="C249" t="s">
        <v>310</v>
      </c>
      <c r="D249" t="s">
        <v>322</v>
      </c>
      <c r="E249" t="s">
        <v>329</v>
      </c>
      <c r="F249" t="s">
        <v>333</v>
      </c>
      <c r="G249" t="s">
        <v>342</v>
      </c>
      <c r="H249" t="s">
        <v>352</v>
      </c>
      <c r="I249">
        <v>12</v>
      </c>
      <c r="J249" s="9">
        <v>4021</v>
      </c>
      <c r="K249" s="9">
        <f t="shared" si="9"/>
        <v>48252</v>
      </c>
      <c r="L249" t="str">
        <f t="shared" si="10"/>
        <v>Jan-2024</v>
      </c>
      <c r="M249" t="str">
        <f t="shared" si="11"/>
        <v>Q1</v>
      </c>
    </row>
    <row r="250" spans="1:13" x14ac:dyDescent="0.3">
      <c r="A250" t="s">
        <v>258</v>
      </c>
      <c r="B250" s="3">
        <v>45386</v>
      </c>
      <c r="C250" t="s">
        <v>312</v>
      </c>
      <c r="D250" t="s">
        <v>317</v>
      </c>
      <c r="E250" t="s">
        <v>327</v>
      </c>
      <c r="F250" t="s">
        <v>331</v>
      </c>
      <c r="G250" t="s">
        <v>339</v>
      </c>
      <c r="H250" t="s">
        <v>349</v>
      </c>
      <c r="I250">
        <v>2</v>
      </c>
      <c r="J250" s="9">
        <v>13462</v>
      </c>
      <c r="K250" s="9">
        <f t="shared" si="9"/>
        <v>26924</v>
      </c>
      <c r="L250" t="str">
        <f t="shared" si="10"/>
        <v>Apr-2024</v>
      </c>
      <c r="M250" t="str">
        <f t="shared" si="11"/>
        <v>Q2</v>
      </c>
    </row>
    <row r="251" spans="1:13" x14ac:dyDescent="0.3">
      <c r="A251" t="s">
        <v>259</v>
      </c>
      <c r="B251" s="3">
        <v>45404</v>
      </c>
      <c r="C251" t="s">
        <v>312</v>
      </c>
      <c r="D251" t="s">
        <v>325</v>
      </c>
      <c r="E251" t="s">
        <v>329</v>
      </c>
      <c r="F251" t="s">
        <v>332</v>
      </c>
      <c r="G251" t="s">
        <v>335</v>
      </c>
      <c r="H251" t="s">
        <v>344</v>
      </c>
      <c r="I251">
        <v>9</v>
      </c>
      <c r="J251" s="9">
        <v>34751</v>
      </c>
      <c r="K251" s="9">
        <f t="shared" si="9"/>
        <v>312759</v>
      </c>
      <c r="L251" t="str">
        <f t="shared" si="10"/>
        <v>Apr-2024</v>
      </c>
      <c r="M251" t="str">
        <f t="shared" si="11"/>
        <v>Q2</v>
      </c>
    </row>
    <row r="252" spans="1:13" x14ac:dyDescent="0.3">
      <c r="A252" t="s">
        <v>260</v>
      </c>
      <c r="B252" s="3">
        <v>45391</v>
      </c>
      <c r="C252" t="s">
        <v>311</v>
      </c>
      <c r="D252" t="s">
        <v>315</v>
      </c>
      <c r="E252" t="s">
        <v>329</v>
      </c>
      <c r="F252" t="s">
        <v>332</v>
      </c>
      <c r="G252" t="s">
        <v>335</v>
      </c>
      <c r="H252" t="s">
        <v>345</v>
      </c>
      <c r="I252">
        <v>12</v>
      </c>
      <c r="J252" s="9">
        <v>23611</v>
      </c>
      <c r="K252" s="9">
        <f t="shared" si="9"/>
        <v>283332</v>
      </c>
      <c r="L252" t="str">
        <f t="shared" si="10"/>
        <v>Apr-2024</v>
      </c>
      <c r="M252" t="str">
        <f t="shared" si="11"/>
        <v>Q2</v>
      </c>
    </row>
    <row r="253" spans="1:13" x14ac:dyDescent="0.3">
      <c r="A253" t="s">
        <v>261</v>
      </c>
      <c r="B253" s="3">
        <v>45337</v>
      </c>
      <c r="C253" t="s">
        <v>311</v>
      </c>
      <c r="D253" t="s">
        <v>318</v>
      </c>
      <c r="E253" t="s">
        <v>326</v>
      </c>
      <c r="F253" t="s">
        <v>332</v>
      </c>
      <c r="G253" t="s">
        <v>340</v>
      </c>
      <c r="H253" t="s">
        <v>350</v>
      </c>
      <c r="I253">
        <v>8</v>
      </c>
      <c r="J253" s="9">
        <v>32269</v>
      </c>
      <c r="K253" s="9">
        <f t="shared" si="9"/>
        <v>258152</v>
      </c>
      <c r="L253" t="str">
        <f t="shared" si="10"/>
        <v>Feb-2024</v>
      </c>
      <c r="M253" t="str">
        <f t="shared" si="11"/>
        <v>Q1</v>
      </c>
    </row>
    <row r="254" spans="1:13" x14ac:dyDescent="0.3">
      <c r="A254" t="s">
        <v>262</v>
      </c>
      <c r="B254" s="3">
        <v>45414</v>
      </c>
      <c r="C254" t="s">
        <v>313</v>
      </c>
      <c r="D254" t="s">
        <v>323</v>
      </c>
      <c r="E254" t="s">
        <v>327</v>
      </c>
      <c r="F254" t="s">
        <v>332</v>
      </c>
      <c r="G254" t="s">
        <v>336</v>
      </c>
      <c r="H254" t="s">
        <v>346</v>
      </c>
      <c r="I254">
        <v>14</v>
      </c>
      <c r="J254" s="9">
        <v>18348</v>
      </c>
      <c r="K254" s="9">
        <f t="shared" si="9"/>
        <v>256872</v>
      </c>
      <c r="L254" t="str">
        <f t="shared" si="10"/>
        <v>May-2024</v>
      </c>
      <c r="M254" t="str">
        <f t="shared" si="11"/>
        <v>Q2</v>
      </c>
    </row>
    <row r="255" spans="1:13" x14ac:dyDescent="0.3">
      <c r="A255" t="s">
        <v>263</v>
      </c>
      <c r="B255" s="3">
        <v>45478</v>
      </c>
      <c r="C255" t="s">
        <v>313</v>
      </c>
      <c r="D255" t="s">
        <v>324</v>
      </c>
      <c r="E255" t="s">
        <v>329</v>
      </c>
      <c r="F255" t="s">
        <v>333</v>
      </c>
      <c r="G255" t="s">
        <v>338</v>
      </c>
      <c r="H255" t="s">
        <v>348</v>
      </c>
      <c r="I255">
        <v>11</v>
      </c>
      <c r="J255" s="9">
        <v>26155</v>
      </c>
      <c r="K255" s="9">
        <f t="shared" si="9"/>
        <v>287705</v>
      </c>
      <c r="L255" t="str">
        <f t="shared" si="10"/>
        <v>Jul-2024</v>
      </c>
      <c r="M255" t="str">
        <f t="shared" si="11"/>
        <v>Q3</v>
      </c>
    </row>
    <row r="256" spans="1:13" x14ac:dyDescent="0.3">
      <c r="A256" t="s">
        <v>264</v>
      </c>
      <c r="B256" s="3">
        <v>45446</v>
      </c>
      <c r="C256" t="s">
        <v>311</v>
      </c>
      <c r="D256" t="s">
        <v>318</v>
      </c>
      <c r="E256" t="s">
        <v>330</v>
      </c>
      <c r="F256" t="s">
        <v>331</v>
      </c>
      <c r="G256" t="s">
        <v>334</v>
      </c>
      <c r="H256" t="s">
        <v>343</v>
      </c>
      <c r="I256">
        <v>10</v>
      </c>
      <c r="J256" s="9">
        <v>37346</v>
      </c>
      <c r="K256" s="9">
        <f t="shared" si="9"/>
        <v>373460</v>
      </c>
      <c r="L256" t="str">
        <f t="shared" si="10"/>
        <v>Jun-2024</v>
      </c>
      <c r="M256" t="str">
        <f t="shared" si="11"/>
        <v>Q2</v>
      </c>
    </row>
    <row r="257" spans="1:13" x14ac:dyDescent="0.3">
      <c r="A257" t="s">
        <v>265</v>
      </c>
      <c r="B257" s="3">
        <v>45377</v>
      </c>
      <c r="C257" t="s">
        <v>310</v>
      </c>
      <c r="D257" t="s">
        <v>314</v>
      </c>
      <c r="E257" t="s">
        <v>326</v>
      </c>
      <c r="F257" t="s">
        <v>332</v>
      </c>
      <c r="G257" t="s">
        <v>336</v>
      </c>
      <c r="H257" t="s">
        <v>346</v>
      </c>
      <c r="I257">
        <v>5</v>
      </c>
      <c r="J257" s="9">
        <v>9059</v>
      </c>
      <c r="K257" s="9">
        <f t="shared" si="9"/>
        <v>45295</v>
      </c>
      <c r="L257" t="str">
        <f t="shared" si="10"/>
        <v>Mar-2024</v>
      </c>
      <c r="M257" t="str">
        <f t="shared" si="11"/>
        <v>Q1</v>
      </c>
    </row>
    <row r="258" spans="1:13" x14ac:dyDescent="0.3">
      <c r="A258" t="s">
        <v>266</v>
      </c>
      <c r="B258" s="3">
        <v>45474</v>
      </c>
      <c r="C258" t="s">
        <v>310</v>
      </c>
      <c r="D258" t="s">
        <v>322</v>
      </c>
      <c r="E258" t="s">
        <v>329</v>
      </c>
      <c r="F258" t="s">
        <v>332</v>
      </c>
      <c r="G258" t="s">
        <v>340</v>
      </c>
      <c r="H258" t="s">
        <v>350</v>
      </c>
      <c r="I258">
        <v>6</v>
      </c>
      <c r="J258" s="9">
        <v>18371</v>
      </c>
      <c r="K258" s="9">
        <f t="shared" si="9"/>
        <v>110226</v>
      </c>
      <c r="L258" t="str">
        <f t="shared" si="10"/>
        <v>Jul-2024</v>
      </c>
      <c r="M258" t="str">
        <f t="shared" si="11"/>
        <v>Q3</v>
      </c>
    </row>
    <row r="259" spans="1:13" x14ac:dyDescent="0.3">
      <c r="A259" t="s">
        <v>267</v>
      </c>
      <c r="B259" s="3">
        <v>45573</v>
      </c>
      <c r="C259" t="s">
        <v>311</v>
      </c>
      <c r="D259" t="s">
        <v>316</v>
      </c>
      <c r="E259" t="s">
        <v>329</v>
      </c>
      <c r="F259" t="s">
        <v>331</v>
      </c>
      <c r="G259" t="s">
        <v>334</v>
      </c>
      <c r="H259" t="s">
        <v>343</v>
      </c>
      <c r="I259">
        <v>15</v>
      </c>
      <c r="J259" s="9">
        <v>7240</v>
      </c>
      <c r="K259" s="9">
        <f t="shared" ref="K259:K301" si="12">I259*J259</f>
        <v>108600</v>
      </c>
      <c r="L259" t="str">
        <f t="shared" ref="L259:L301" si="13">TEXT(B259,"MMM-YYYY")</f>
        <v>Oct-2024</v>
      </c>
      <c r="M259" t="str">
        <f t="shared" ref="M259:M300" si="14">IF(MONTH(L259)&lt;=3,"Q1",IF(MONTH(L259)&lt;=6,"Q2",IF(MONTH(L259)&lt;=9,"Q3","Q4")))</f>
        <v>Q4</v>
      </c>
    </row>
    <row r="260" spans="1:13" x14ac:dyDescent="0.3">
      <c r="A260" t="s">
        <v>268</v>
      </c>
      <c r="B260" s="3">
        <v>45537</v>
      </c>
      <c r="C260" t="s">
        <v>310</v>
      </c>
      <c r="D260" t="s">
        <v>314</v>
      </c>
      <c r="E260" t="s">
        <v>328</v>
      </c>
      <c r="F260" t="s">
        <v>333</v>
      </c>
      <c r="G260" t="s">
        <v>342</v>
      </c>
      <c r="H260" t="s">
        <v>352</v>
      </c>
      <c r="I260">
        <v>2</v>
      </c>
      <c r="J260" s="9">
        <v>3271</v>
      </c>
      <c r="K260" s="9">
        <f t="shared" si="12"/>
        <v>6542</v>
      </c>
      <c r="L260" t="str">
        <f t="shared" si="13"/>
        <v>Sep-2024</v>
      </c>
      <c r="M260" t="str">
        <f t="shared" si="14"/>
        <v>Q3</v>
      </c>
    </row>
    <row r="261" spans="1:13" x14ac:dyDescent="0.3">
      <c r="A261" t="s">
        <v>269</v>
      </c>
      <c r="B261" s="3">
        <v>45551</v>
      </c>
      <c r="C261" t="s">
        <v>310</v>
      </c>
      <c r="D261" t="s">
        <v>314</v>
      </c>
      <c r="E261" t="s">
        <v>329</v>
      </c>
      <c r="F261" t="s">
        <v>333</v>
      </c>
      <c r="G261" t="s">
        <v>337</v>
      </c>
      <c r="H261" t="s">
        <v>347</v>
      </c>
      <c r="I261">
        <v>17</v>
      </c>
      <c r="J261" s="9">
        <v>41293</v>
      </c>
      <c r="K261" s="9">
        <f t="shared" si="12"/>
        <v>701981</v>
      </c>
      <c r="L261" t="str">
        <f t="shared" si="13"/>
        <v>Sep-2024</v>
      </c>
      <c r="M261" t="str">
        <f t="shared" si="14"/>
        <v>Q3</v>
      </c>
    </row>
    <row r="262" spans="1:13" x14ac:dyDescent="0.3">
      <c r="A262" t="s">
        <v>270</v>
      </c>
      <c r="B262" s="3">
        <v>45484</v>
      </c>
      <c r="C262" t="s">
        <v>313</v>
      </c>
      <c r="D262" t="s">
        <v>324</v>
      </c>
      <c r="E262" t="s">
        <v>327</v>
      </c>
      <c r="F262" t="s">
        <v>332</v>
      </c>
      <c r="G262" t="s">
        <v>335</v>
      </c>
      <c r="H262" t="s">
        <v>344</v>
      </c>
      <c r="I262">
        <v>9</v>
      </c>
      <c r="J262" s="9">
        <v>40432</v>
      </c>
      <c r="K262" s="9">
        <f t="shared" si="12"/>
        <v>363888</v>
      </c>
      <c r="L262" t="str">
        <f t="shared" si="13"/>
        <v>Jul-2024</v>
      </c>
      <c r="M262" t="str">
        <f t="shared" si="14"/>
        <v>Q3</v>
      </c>
    </row>
    <row r="263" spans="1:13" x14ac:dyDescent="0.3">
      <c r="A263" t="s">
        <v>271</v>
      </c>
      <c r="B263" s="3">
        <v>45580</v>
      </c>
      <c r="C263" t="s">
        <v>310</v>
      </c>
      <c r="D263" t="s">
        <v>322</v>
      </c>
      <c r="E263" t="s">
        <v>326</v>
      </c>
      <c r="F263" t="s">
        <v>331</v>
      </c>
      <c r="G263" t="s">
        <v>334</v>
      </c>
      <c r="H263" t="s">
        <v>353</v>
      </c>
      <c r="I263">
        <v>8</v>
      </c>
      <c r="J263" s="9">
        <v>23775</v>
      </c>
      <c r="K263" s="9">
        <f t="shared" si="12"/>
        <v>190200</v>
      </c>
      <c r="L263" t="str">
        <f t="shared" si="13"/>
        <v>Oct-2024</v>
      </c>
      <c r="M263" t="str">
        <f t="shared" si="14"/>
        <v>Q4</v>
      </c>
    </row>
    <row r="264" spans="1:13" x14ac:dyDescent="0.3">
      <c r="A264" t="s">
        <v>272</v>
      </c>
      <c r="B264" s="3">
        <v>45392</v>
      </c>
      <c r="C264" t="s">
        <v>312</v>
      </c>
      <c r="D264" t="s">
        <v>321</v>
      </c>
      <c r="E264" t="s">
        <v>327</v>
      </c>
      <c r="F264" t="s">
        <v>333</v>
      </c>
      <c r="G264" t="s">
        <v>337</v>
      </c>
      <c r="H264" t="s">
        <v>347</v>
      </c>
      <c r="I264">
        <v>5</v>
      </c>
      <c r="J264" s="9">
        <v>14798</v>
      </c>
      <c r="K264" s="9">
        <f t="shared" si="12"/>
        <v>73990</v>
      </c>
      <c r="L264" t="str">
        <f t="shared" si="13"/>
        <v>Apr-2024</v>
      </c>
      <c r="M264" t="str">
        <f t="shared" si="14"/>
        <v>Q2</v>
      </c>
    </row>
    <row r="265" spans="1:13" x14ac:dyDescent="0.3">
      <c r="A265" t="s">
        <v>273</v>
      </c>
      <c r="B265" s="3">
        <v>45408</v>
      </c>
      <c r="C265" t="s">
        <v>313</v>
      </c>
      <c r="D265" t="s">
        <v>319</v>
      </c>
      <c r="E265" t="s">
        <v>327</v>
      </c>
      <c r="F265" t="s">
        <v>333</v>
      </c>
      <c r="G265" t="s">
        <v>342</v>
      </c>
      <c r="H265" t="s">
        <v>352</v>
      </c>
      <c r="I265">
        <v>10</v>
      </c>
      <c r="J265" s="9">
        <v>37778</v>
      </c>
      <c r="K265" s="9">
        <f t="shared" si="12"/>
        <v>377780</v>
      </c>
      <c r="L265" t="str">
        <f t="shared" si="13"/>
        <v>Apr-2024</v>
      </c>
      <c r="M265" t="str">
        <f t="shared" si="14"/>
        <v>Q2</v>
      </c>
    </row>
    <row r="266" spans="1:13" x14ac:dyDescent="0.3">
      <c r="A266" t="s">
        <v>274</v>
      </c>
      <c r="B266" s="3">
        <v>45385</v>
      </c>
      <c r="C266" t="s">
        <v>311</v>
      </c>
      <c r="D266" t="s">
        <v>316</v>
      </c>
      <c r="E266" t="s">
        <v>328</v>
      </c>
      <c r="F266" t="s">
        <v>332</v>
      </c>
      <c r="G266" t="s">
        <v>336</v>
      </c>
      <c r="H266" t="s">
        <v>346</v>
      </c>
      <c r="I266">
        <v>12</v>
      </c>
      <c r="J266" s="9">
        <v>13010</v>
      </c>
      <c r="K266" s="9">
        <f t="shared" si="12"/>
        <v>156120</v>
      </c>
      <c r="L266" t="str">
        <f t="shared" si="13"/>
        <v>Apr-2024</v>
      </c>
      <c r="M266" t="str">
        <f t="shared" si="14"/>
        <v>Q2</v>
      </c>
    </row>
    <row r="267" spans="1:13" x14ac:dyDescent="0.3">
      <c r="A267" t="s">
        <v>275</v>
      </c>
      <c r="B267" s="3">
        <v>45364</v>
      </c>
      <c r="C267" t="s">
        <v>311</v>
      </c>
      <c r="D267" t="s">
        <v>315</v>
      </c>
      <c r="E267" t="s">
        <v>330</v>
      </c>
      <c r="F267" t="s">
        <v>333</v>
      </c>
      <c r="G267" t="s">
        <v>342</v>
      </c>
      <c r="H267" t="s">
        <v>352</v>
      </c>
      <c r="I267">
        <v>7</v>
      </c>
      <c r="J267" s="9">
        <v>1589</v>
      </c>
      <c r="K267" s="9">
        <f t="shared" si="12"/>
        <v>11123</v>
      </c>
      <c r="L267" t="str">
        <f t="shared" si="13"/>
        <v>Mar-2024</v>
      </c>
      <c r="M267" t="str">
        <f t="shared" si="14"/>
        <v>Q1</v>
      </c>
    </row>
    <row r="268" spans="1:13" x14ac:dyDescent="0.3">
      <c r="A268" t="s">
        <v>276</v>
      </c>
      <c r="B268" s="3">
        <v>45476</v>
      </c>
      <c r="C268" t="s">
        <v>310</v>
      </c>
      <c r="D268" t="s">
        <v>320</v>
      </c>
      <c r="E268" t="s">
        <v>327</v>
      </c>
      <c r="F268" t="s">
        <v>333</v>
      </c>
      <c r="G268" t="s">
        <v>342</v>
      </c>
      <c r="H268" t="s">
        <v>352</v>
      </c>
      <c r="I268">
        <v>20</v>
      </c>
      <c r="J268" s="9">
        <v>15753</v>
      </c>
      <c r="K268" s="9">
        <f t="shared" si="12"/>
        <v>315060</v>
      </c>
      <c r="L268" t="str">
        <f t="shared" si="13"/>
        <v>Jul-2024</v>
      </c>
      <c r="M268" t="str">
        <f t="shared" si="14"/>
        <v>Q3</v>
      </c>
    </row>
    <row r="269" spans="1:13" x14ac:dyDescent="0.3">
      <c r="A269" t="s">
        <v>277</v>
      </c>
      <c r="B269" s="3">
        <v>45600</v>
      </c>
      <c r="C269" t="s">
        <v>310</v>
      </c>
      <c r="D269" t="s">
        <v>322</v>
      </c>
      <c r="E269" t="s">
        <v>329</v>
      </c>
      <c r="F269" t="s">
        <v>333</v>
      </c>
      <c r="G269" t="s">
        <v>337</v>
      </c>
      <c r="H269" t="s">
        <v>347</v>
      </c>
      <c r="I269">
        <v>6</v>
      </c>
      <c r="J269" s="9">
        <v>37891</v>
      </c>
      <c r="K269" s="9">
        <f t="shared" si="12"/>
        <v>227346</v>
      </c>
      <c r="L269" t="str">
        <f t="shared" si="13"/>
        <v>Nov-2024</v>
      </c>
      <c r="M269" t="str">
        <f t="shared" si="14"/>
        <v>Q4</v>
      </c>
    </row>
    <row r="270" spans="1:13" x14ac:dyDescent="0.3">
      <c r="A270" t="s">
        <v>278</v>
      </c>
      <c r="B270" s="3">
        <v>45318</v>
      </c>
      <c r="C270" t="s">
        <v>312</v>
      </c>
      <c r="D270" t="s">
        <v>321</v>
      </c>
      <c r="E270" t="s">
        <v>329</v>
      </c>
      <c r="F270" t="s">
        <v>333</v>
      </c>
      <c r="G270" t="s">
        <v>338</v>
      </c>
      <c r="H270" t="s">
        <v>354</v>
      </c>
      <c r="I270">
        <v>16</v>
      </c>
      <c r="J270" s="9">
        <v>36845</v>
      </c>
      <c r="K270" s="9">
        <f t="shared" si="12"/>
        <v>589520</v>
      </c>
      <c r="L270" t="str">
        <f t="shared" si="13"/>
        <v>Jan-2024</v>
      </c>
      <c r="M270" t="str">
        <f t="shared" si="14"/>
        <v>Q1</v>
      </c>
    </row>
    <row r="271" spans="1:13" x14ac:dyDescent="0.3">
      <c r="A271" t="s">
        <v>279</v>
      </c>
      <c r="B271" s="3">
        <v>45632</v>
      </c>
      <c r="C271" t="s">
        <v>313</v>
      </c>
      <c r="D271" t="s">
        <v>323</v>
      </c>
      <c r="E271" t="s">
        <v>328</v>
      </c>
      <c r="F271" t="s">
        <v>333</v>
      </c>
      <c r="G271" t="s">
        <v>342</v>
      </c>
      <c r="H271" t="s">
        <v>355</v>
      </c>
      <c r="I271">
        <v>10</v>
      </c>
      <c r="J271" s="9">
        <v>39856</v>
      </c>
      <c r="K271" s="9">
        <f t="shared" si="12"/>
        <v>398560</v>
      </c>
      <c r="L271" t="str">
        <f t="shared" si="13"/>
        <v>Dec-2024</v>
      </c>
      <c r="M271" t="str">
        <f t="shared" si="14"/>
        <v>Q4</v>
      </c>
    </row>
    <row r="272" spans="1:13" x14ac:dyDescent="0.3">
      <c r="A272" t="s">
        <v>280</v>
      </c>
      <c r="B272" s="3">
        <v>45504</v>
      </c>
      <c r="C272" t="s">
        <v>313</v>
      </c>
      <c r="D272" t="s">
        <v>319</v>
      </c>
      <c r="E272" t="s">
        <v>327</v>
      </c>
      <c r="F272" t="s">
        <v>331</v>
      </c>
      <c r="G272" t="s">
        <v>334</v>
      </c>
      <c r="H272" t="s">
        <v>353</v>
      </c>
      <c r="I272">
        <v>9</v>
      </c>
      <c r="J272" s="9">
        <v>4324</v>
      </c>
      <c r="K272" s="9">
        <f t="shared" si="12"/>
        <v>38916</v>
      </c>
      <c r="L272" t="str">
        <f t="shared" si="13"/>
        <v>Jul-2024</v>
      </c>
      <c r="M272" t="str">
        <f t="shared" si="14"/>
        <v>Q3</v>
      </c>
    </row>
    <row r="273" spans="1:13" x14ac:dyDescent="0.3">
      <c r="A273" t="s">
        <v>281</v>
      </c>
      <c r="B273" s="3">
        <v>45452</v>
      </c>
      <c r="C273" t="s">
        <v>313</v>
      </c>
      <c r="D273" t="s">
        <v>323</v>
      </c>
      <c r="E273" t="s">
        <v>329</v>
      </c>
      <c r="F273" t="s">
        <v>331</v>
      </c>
      <c r="G273" t="s">
        <v>334</v>
      </c>
      <c r="H273" t="s">
        <v>343</v>
      </c>
      <c r="I273">
        <v>9</v>
      </c>
      <c r="J273" s="9">
        <v>20268</v>
      </c>
      <c r="K273" s="9">
        <f t="shared" si="12"/>
        <v>182412</v>
      </c>
      <c r="L273" t="str">
        <f t="shared" si="13"/>
        <v>Jun-2024</v>
      </c>
      <c r="M273" t="str">
        <f t="shared" si="14"/>
        <v>Q2</v>
      </c>
    </row>
    <row r="274" spans="1:13" x14ac:dyDescent="0.3">
      <c r="A274" t="s">
        <v>282</v>
      </c>
      <c r="B274" s="3">
        <v>45616</v>
      </c>
      <c r="C274" t="s">
        <v>311</v>
      </c>
      <c r="D274" t="s">
        <v>316</v>
      </c>
      <c r="E274" t="s">
        <v>329</v>
      </c>
      <c r="F274" t="s">
        <v>331</v>
      </c>
      <c r="G274" t="s">
        <v>334</v>
      </c>
      <c r="H274" t="s">
        <v>343</v>
      </c>
      <c r="I274">
        <v>2</v>
      </c>
      <c r="J274" s="9">
        <v>7789</v>
      </c>
      <c r="K274" s="9">
        <f t="shared" si="12"/>
        <v>15578</v>
      </c>
      <c r="L274" t="str">
        <f t="shared" si="13"/>
        <v>Nov-2024</v>
      </c>
      <c r="M274" t="str">
        <f t="shared" si="14"/>
        <v>Q4</v>
      </c>
    </row>
    <row r="275" spans="1:13" x14ac:dyDescent="0.3">
      <c r="A275" t="s">
        <v>283</v>
      </c>
      <c r="B275" s="3">
        <v>45474</v>
      </c>
      <c r="C275" t="s">
        <v>311</v>
      </c>
      <c r="D275" t="s">
        <v>316</v>
      </c>
      <c r="E275" t="s">
        <v>328</v>
      </c>
      <c r="F275" t="s">
        <v>332</v>
      </c>
      <c r="G275" t="s">
        <v>335</v>
      </c>
      <c r="H275" t="s">
        <v>345</v>
      </c>
      <c r="I275">
        <v>16</v>
      </c>
      <c r="J275" s="9">
        <v>37950</v>
      </c>
      <c r="K275" s="9">
        <f t="shared" si="12"/>
        <v>607200</v>
      </c>
      <c r="L275" t="str">
        <f t="shared" si="13"/>
        <v>Jul-2024</v>
      </c>
      <c r="M275" t="str">
        <f t="shared" si="14"/>
        <v>Q3</v>
      </c>
    </row>
    <row r="276" spans="1:13" x14ac:dyDescent="0.3">
      <c r="A276" t="s">
        <v>284</v>
      </c>
      <c r="B276" s="3">
        <v>45457</v>
      </c>
      <c r="C276" t="s">
        <v>363</v>
      </c>
      <c r="D276" t="s">
        <v>319</v>
      </c>
      <c r="E276" t="s">
        <v>330</v>
      </c>
      <c r="F276" t="s">
        <v>333</v>
      </c>
      <c r="G276" t="s">
        <v>337</v>
      </c>
      <c r="H276" t="s">
        <v>347</v>
      </c>
      <c r="I276">
        <v>12</v>
      </c>
      <c r="J276" s="9">
        <v>6399</v>
      </c>
      <c r="K276" s="9">
        <f t="shared" si="12"/>
        <v>76788</v>
      </c>
      <c r="L276" t="str">
        <f t="shared" si="13"/>
        <v>Jun-2024</v>
      </c>
      <c r="M276" t="str">
        <f t="shared" si="14"/>
        <v>Q2</v>
      </c>
    </row>
    <row r="277" spans="1:13" x14ac:dyDescent="0.3">
      <c r="A277" t="s">
        <v>285</v>
      </c>
      <c r="B277" s="3">
        <v>45494</v>
      </c>
      <c r="C277" t="s">
        <v>311</v>
      </c>
      <c r="D277" t="s">
        <v>316</v>
      </c>
      <c r="E277" t="s">
        <v>326</v>
      </c>
      <c r="F277" t="s">
        <v>332</v>
      </c>
      <c r="G277" t="s">
        <v>336</v>
      </c>
      <c r="H277" t="s">
        <v>346</v>
      </c>
      <c r="I277">
        <v>5</v>
      </c>
      <c r="J277" s="9">
        <v>31731</v>
      </c>
      <c r="K277" s="9">
        <f t="shared" si="12"/>
        <v>158655</v>
      </c>
      <c r="L277" t="str">
        <f t="shared" si="13"/>
        <v>Jul-2024</v>
      </c>
      <c r="M277" t="str">
        <f t="shared" si="14"/>
        <v>Q3</v>
      </c>
    </row>
    <row r="278" spans="1:13" x14ac:dyDescent="0.3">
      <c r="A278" t="s">
        <v>286</v>
      </c>
      <c r="B278" s="3">
        <v>45332</v>
      </c>
      <c r="C278" t="s">
        <v>310</v>
      </c>
      <c r="D278" t="s">
        <v>322</v>
      </c>
      <c r="E278" t="s">
        <v>327</v>
      </c>
      <c r="F278" t="s">
        <v>332</v>
      </c>
      <c r="G278" t="s">
        <v>336</v>
      </c>
      <c r="H278" t="s">
        <v>346</v>
      </c>
      <c r="I278">
        <v>2</v>
      </c>
      <c r="J278" s="9">
        <v>34236</v>
      </c>
      <c r="K278" s="9">
        <f t="shared" si="12"/>
        <v>68472</v>
      </c>
      <c r="L278" t="str">
        <f t="shared" si="13"/>
        <v>Feb-2024</v>
      </c>
      <c r="M278" t="str">
        <f t="shared" si="14"/>
        <v>Q1</v>
      </c>
    </row>
    <row r="279" spans="1:13" x14ac:dyDescent="0.3">
      <c r="A279" t="s">
        <v>287</v>
      </c>
      <c r="B279" s="3">
        <v>45558</v>
      </c>
      <c r="C279" t="s">
        <v>311</v>
      </c>
      <c r="D279" t="s">
        <v>318</v>
      </c>
      <c r="E279" t="s">
        <v>330</v>
      </c>
      <c r="F279" t="s">
        <v>333</v>
      </c>
      <c r="G279" t="s">
        <v>337</v>
      </c>
      <c r="H279" t="s">
        <v>347</v>
      </c>
      <c r="I279">
        <v>19</v>
      </c>
      <c r="J279" s="9">
        <v>46614</v>
      </c>
      <c r="K279" s="9">
        <f t="shared" si="12"/>
        <v>885666</v>
      </c>
      <c r="L279" t="str">
        <f t="shared" si="13"/>
        <v>Sep-2024</v>
      </c>
      <c r="M279" t="str">
        <f t="shared" si="14"/>
        <v>Q3</v>
      </c>
    </row>
    <row r="280" spans="1:13" x14ac:dyDescent="0.3">
      <c r="A280" t="s">
        <v>288</v>
      </c>
      <c r="B280" s="3">
        <v>45579</v>
      </c>
      <c r="C280" t="s">
        <v>311</v>
      </c>
      <c r="D280" t="s">
        <v>316</v>
      </c>
      <c r="E280" t="s">
        <v>326</v>
      </c>
      <c r="F280" t="s">
        <v>331</v>
      </c>
      <c r="G280" t="s">
        <v>334</v>
      </c>
      <c r="H280" t="s">
        <v>359</v>
      </c>
      <c r="I280">
        <v>6</v>
      </c>
      <c r="J280" s="9">
        <v>39087</v>
      </c>
      <c r="K280" s="9">
        <f t="shared" si="12"/>
        <v>234522</v>
      </c>
      <c r="L280" t="str">
        <f t="shared" si="13"/>
        <v>Oct-2024</v>
      </c>
      <c r="M280" t="str">
        <f t="shared" si="14"/>
        <v>Q4</v>
      </c>
    </row>
    <row r="281" spans="1:13" x14ac:dyDescent="0.3">
      <c r="A281" t="s">
        <v>289</v>
      </c>
      <c r="B281" s="3">
        <v>45516</v>
      </c>
      <c r="C281" t="s">
        <v>313</v>
      </c>
      <c r="D281" t="s">
        <v>323</v>
      </c>
      <c r="E281" t="s">
        <v>330</v>
      </c>
      <c r="F281" t="s">
        <v>332</v>
      </c>
      <c r="G281" t="s">
        <v>340</v>
      </c>
      <c r="H281" t="s">
        <v>350</v>
      </c>
      <c r="I281">
        <v>18</v>
      </c>
      <c r="J281" s="9">
        <v>20096</v>
      </c>
      <c r="K281" s="9">
        <f t="shared" si="12"/>
        <v>361728</v>
      </c>
      <c r="L281" t="str">
        <f t="shared" si="13"/>
        <v>Aug-2024</v>
      </c>
      <c r="M281" t="str">
        <f t="shared" si="14"/>
        <v>Q3</v>
      </c>
    </row>
    <row r="282" spans="1:13" x14ac:dyDescent="0.3">
      <c r="A282" t="s">
        <v>290</v>
      </c>
      <c r="B282" s="3">
        <v>45360</v>
      </c>
      <c r="C282" t="s">
        <v>312</v>
      </c>
      <c r="D282" t="s">
        <v>317</v>
      </c>
      <c r="E282" t="s">
        <v>326</v>
      </c>
      <c r="F282" t="s">
        <v>333</v>
      </c>
      <c r="G282" t="s">
        <v>342</v>
      </c>
      <c r="H282" t="s">
        <v>352</v>
      </c>
      <c r="I282">
        <v>2</v>
      </c>
      <c r="J282" s="9">
        <v>24059</v>
      </c>
      <c r="K282" s="9">
        <f t="shared" si="12"/>
        <v>48118</v>
      </c>
      <c r="L282" t="str">
        <f t="shared" si="13"/>
        <v>Mar-2024</v>
      </c>
      <c r="M282" t="str">
        <f t="shared" si="14"/>
        <v>Q1</v>
      </c>
    </row>
    <row r="283" spans="1:13" x14ac:dyDescent="0.3">
      <c r="A283" t="s">
        <v>291</v>
      </c>
      <c r="B283" s="3">
        <v>45296</v>
      </c>
      <c r="C283" t="s">
        <v>313</v>
      </c>
      <c r="D283" t="s">
        <v>323</v>
      </c>
      <c r="E283" t="s">
        <v>328</v>
      </c>
      <c r="F283" t="s">
        <v>332</v>
      </c>
      <c r="G283" t="s">
        <v>340</v>
      </c>
      <c r="H283" t="s">
        <v>350</v>
      </c>
      <c r="I283">
        <v>8</v>
      </c>
      <c r="J283" s="9">
        <v>40140</v>
      </c>
      <c r="K283" s="9">
        <f t="shared" si="12"/>
        <v>321120</v>
      </c>
      <c r="L283" t="str">
        <f t="shared" si="13"/>
        <v>Jan-2024</v>
      </c>
      <c r="M283" t="str">
        <f t="shared" si="14"/>
        <v>Q1</v>
      </c>
    </row>
    <row r="284" spans="1:13" x14ac:dyDescent="0.3">
      <c r="A284" t="s">
        <v>292</v>
      </c>
      <c r="B284" s="3">
        <v>45496</v>
      </c>
      <c r="C284" t="s">
        <v>312</v>
      </c>
      <c r="D284" t="s">
        <v>317</v>
      </c>
      <c r="E284" t="s">
        <v>326</v>
      </c>
      <c r="F284" t="s">
        <v>332</v>
      </c>
      <c r="G284" t="s">
        <v>335</v>
      </c>
      <c r="H284" t="s">
        <v>344</v>
      </c>
      <c r="I284">
        <v>4</v>
      </c>
      <c r="J284" s="9">
        <v>20831</v>
      </c>
      <c r="K284" s="9">
        <f t="shared" si="12"/>
        <v>83324</v>
      </c>
      <c r="L284" t="str">
        <f t="shared" si="13"/>
        <v>Jul-2024</v>
      </c>
      <c r="M284" t="str">
        <f t="shared" si="14"/>
        <v>Q3</v>
      </c>
    </row>
    <row r="285" spans="1:13" x14ac:dyDescent="0.3">
      <c r="A285" t="s">
        <v>293</v>
      </c>
      <c r="B285" s="3">
        <v>45384</v>
      </c>
      <c r="C285" t="s">
        <v>313</v>
      </c>
      <c r="D285" t="s">
        <v>323</v>
      </c>
      <c r="E285" t="s">
        <v>328</v>
      </c>
      <c r="F285" t="s">
        <v>331</v>
      </c>
      <c r="G285" t="s">
        <v>334</v>
      </c>
      <c r="H285" t="s">
        <v>343</v>
      </c>
      <c r="I285">
        <v>17</v>
      </c>
      <c r="J285" s="9">
        <v>20395</v>
      </c>
      <c r="K285" s="9">
        <f t="shared" si="12"/>
        <v>346715</v>
      </c>
      <c r="L285" t="str">
        <f t="shared" si="13"/>
        <v>Apr-2024</v>
      </c>
      <c r="M285" t="str">
        <f t="shared" si="14"/>
        <v>Q2</v>
      </c>
    </row>
    <row r="286" spans="1:13" x14ac:dyDescent="0.3">
      <c r="A286" t="s">
        <v>294</v>
      </c>
      <c r="B286" s="3">
        <v>45526</v>
      </c>
      <c r="C286" t="s">
        <v>310</v>
      </c>
      <c r="D286" t="s">
        <v>314</v>
      </c>
      <c r="E286" t="s">
        <v>328</v>
      </c>
      <c r="F286" t="s">
        <v>332</v>
      </c>
      <c r="G286" t="s">
        <v>340</v>
      </c>
      <c r="H286" t="s">
        <v>350</v>
      </c>
      <c r="I286">
        <v>18</v>
      </c>
      <c r="J286" s="9">
        <v>20587</v>
      </c>
      <c r="K286" s="9">
        <f t="shared" si="12"/>
        <v>370566</v>
      </c>
      <c r="L286" t="str">
        <f t="shared" si="13"/>
        <v>Aug-2024</v>
      </c>
      <c r="M286" t="str">
        <f t="shared" si="14"/>
        <v>Q3</v>
      </c>
    </row>
    <row r="287" spans="1:13" x14ac:dyDescent="0.3">
      <c r="A287" t="s">
        <v>295</v>
      </c>
      <c r="B287" s="3">
        <v>45595</v>
      </c>
      <c r="C287" t="s">
        <v>310</v>
      </c>
      <c r="D287" t="s">
        <v>314</v>
      </c>
      <c r="E287" t="s">
        <v>330</v>
      </c>
      <c r="F287" t="s">
        <v>332</v>
      </c>
      <c r="G287" t="s">
        <v>336</v>
      </c>
      <c r="H287" t="s">
        <v>346</v>
      </c>
      <c r="I287">
        <v>10</v>
      </c>
      <c r="J287" s="9">
        <v>44337</v>
      </c>
      <c r="K287" s="9">
        <f t="shared" si="12"/>
        <v>443370</v>
      </c>
      <c r="L287" t="str">
        <f t="shared" si="13"/>
        <v>Oct-2024</v>
      </c>
      <c r="M287" t="str">
        <f t="shared" si="14"/>
        <v>Q4</v>
      </c>
    </row>
    <row r="288" spans="1:13" x14ac:dyDescent="0.3">
      <c r="A288" t="s">
        <v>296</v>
      </c>
      <c r="B288" s="3">
        <v>45509</v>
      </c>
      <c r="C288" t="s">
        <v>310</v>
      </c>
      <c r="D288" t="s">
        <v>314</v>
      </c>
      <c r="E288" t="s">
        <v>326</v>
      </c>
      <c r="F288" t="s">
        <v>331</v>
      </c>
      <c r="G288" t="s">
        <v>334</v>
      </c>
      <c r="H288" t="s">
        <v>343</v>
      </c>
      <c r="I288">
        <v>17</v>
      </c>
      <c r="J288" s="9">
        <v>48342</v>
      </c>
      <c r="K288" s="9">
        <f t="shared" si="12"/>
        <v>821814</v>
      </c>
      <c r="L288" t="str">
        <f t="shared" si="13"/>
        <v>Aug-2024</v>
      </c>
      <c r="M288" t="str">
        <f t="shared" si="14"/>
        <v>Q3</v>
      </c>
    </row>
    <row r="289" spans="1:13" x14ac:dyDescent="0.3">
      <c r="A289" t="s">
        <v>297</v>
      </c>
      <c r="B289" s="3">
        <v>45478</v>
      </c>
      <c r="C289" t="s">
        <v>310</v>
      </c>
      <c r="D289" t="s">
        <v>314</v>
      </c>
      <c r="E289" t="s">
        <v>330</v>
      </c>
      <c r="F289" t="s">
        <v>333</v>
      </c>
      <c r="G289" t="s">
        <v>338</v>
      </c>
      <c r="H289" t="s">
        <v>348</v>
      </c>
      <c r="I289">
        <v>2</v>
      </c>
      <c r="J289" s="9">
        <v>5781</v>
      </c>
      <c r="K289" s="9">
        <f t="shared" si="12"/>
        <v>11562</v>
      </c>
      <c r="L289" t="str">
        <f t="shared" si="13"/>
        <v>Jul-2024</v>
      </c>
      <c r="M289" t="str">
        <f t="shared" si="14"/>
        <v>Q3</v>
      </c>
    </row>
    <row r="290" spans="1:13" x14ac:dyDescent="0.3">
      <c r="A290" t="s">
        <v>298</v>
      </c>
      <c r="B290" s="3">
        <v>45519</v>
      </c>
      <c r="C290" t="s">
        <v>312</v>
      </c>
      <c r="D290" t="s">
        <v>321</v>
      </c>
      <c r="E290" t="s">
        <v>326</v>
      </c>
      <c r="F290" t="s">
        <v>332</v>
      </c>
      <c r="G290" t="s">
        <v>340</v>
      </c>
      <c r="H290" t="s">
        <v>350</v>
      </c>
      <c r="I290">
        <v>6</v>
      </c>
      <c r="J290" s="9">
        <v>31331</v>
      </c>
      <c r="K290" s="9">
        <f t="shared" si="12"/>
        <v>187986</v>
      </c>
      <c r="L290" t="str">
        <f t="shared" si="13"/>
        <v>Aug-2024</v>
      </c>
      <c r="M290" t="str">
        <f t="shared" si="14"/>
        <v>Q3</v>
      </c>
    </row>
    <row r="291" spans="1:13" x14ac:dyDescent="0.3">
      <c r="A291" t="s">
        <v>299</v>
      </c>
      <c r="B291" s="3">
        <v>45594</v>
      </c>
      <c r="C291" t="s">
        <v>311</v>
      </c>
      <c r="D291" t="s">
        <v>318</v>
      </c>
      <c r="E291" t="s">
        <v>326</v>
      </c>
      <c r="F291" t="s">
        <v>332</v>
      </c>
      <c r="G291" t="s">
        <v>335</v>
      </c>
      <c r="H291" t="s">
        <v>344</v>
      </c>
      <c r="I291">
        <v>16</v>
      </c>
      <c r="J291" s="9">
        <v>25741</v>
      </c>
      <c r="K291" s="9">
        <f t="shared" si="12"/>
        <v>411856</v>
      </c>
      <c r="L291" t="str">
        <f t="shared" si="13"/>
        <v>Oct-2024</v>
      </c>
      <c r="M291" t="str">
        <f t="shared" si="14"/>
        <v>Q4</v>
      </c>
    </row>
    <row r="292" spans="1:13" x14ac:dyDescent="0.3">
      <c r="A292" t="s">
        <v>300</v>
      </c>
      <c r="B292" s="3">
        <v>45384</v>
      </c>
      <c r="C292" t="s">
        <v>313</v>
      </c>
      <c r="D292" t="s">
        <v>324</v>
      </c>
      <c r="E292" t="s">
        <v>327</v>
      </c>
      <c r="F292" t="s">
        <v>331</v>
      </c>
      <c r="G292" t="s">
        <v>341</v>
      </c>
      <c r="H292" t="s">
        <v>351</v>
      </c>
      <c r="I292">
        <v>18</v>
      </c>
      <c r="J292" s="9">
        <v>4168</v>
      </c>
      <c r="K292" s="9">
        <f t="shared" si="12"/>
        <v>75024</v>
      </c>
      <c r="L292" t="str">
        <f t="shared" si="13"/>
        <v>Apr-2024</v>
      </c>
      <c r="M292" t="str">
        <f t="shared" si="14"/>
        <v>Q2</v>
      </c>
    </row>
    <row r="293" spans="1:13" x14ac:dyDescent="0.3">
      <c r="A293" t="s">
        <v>301</v>
      </c>
      <c r="B293" s="3">
        <v>45518</v>
      </c>
      <c r="C293" t="s">
        <v>312</v>
      </c>
      <c r="D293" t="s">
        <v>325</v>
      </c>
      <c r="E293" t="s">
        <v>329</v>
      </c>
      <c r="F293" t="s">
        <v>331</v>
      </c>
      <c r="G293" t="s">
        <v>334</v>
      </c>
      <c r="H293" t="s">
        <v>353</v>
      </c>
      <c r="I293">
        <v>4</v>
      </c>
      <c r="J293" s="9">
        <v>25649</v>
      </c>
      <c r="K293" s="9">
        <f t="shared" si="12"/>
        <v>102596</v>
      </c>
      <c r="L293" t="str">
        <f t="shared" si="13"/>
        <v>Aug-2024</v>
      </c>
      <c r="M293" t="str">
        <f t="shared" si="14"/>
        <v>Q3</v>
      </c>
    </row>
    <row r="294" spans="1:13" x14ac:dyDescent="0.3">
      <c r="A294" t="s">
        <v>302</v>
      </c>
      <c r="B294" s="3">
        <v>45530</v>
      </c>
      <c r="C294" t="s">
        <v>312</v>
      </c>
      <c r="D294" t="s">
        <v>325</v>
      </c>
      <c r="E294" t="s">
        <v>329</v>
      </c>
      <c r="F294" t="s">
        <v>333</v>
      </c>
      <c r="G294" t="s">
        <v>338</v>
      </c>
      <c r="H294" t="s">
        <v>348</v>
      </c>
      <c r="I294">
        <v>17</v>
      </c>
      <c r="J294" s="9">
        <v>6493</v>
      </c>
      <c r="K294" s="9">
        <f t="shared" si="12"/>
        <v>110381</v>
      </c>
      <c r="L294" t="str">
        <f t="shared" si="13"/>
        <v>Aug-2024</v>
      </c>
      <c r="M294" t="str">
        <f t="shared" si="14"/>
        <v>Q3</v>
      </c>
    </row>
    <row r="295" spans="1:13" x14ac:dyDescent="0.3">
      <c r="A295" t="s">
        <v>303</v>
      </c>
      <c r="B295" s="3">
        <v>45550</v>
      </c>
      <c r="C295" t="s">
        <v>310</v>
      </c>
      <c r="D295" t="s">
        <v>320</v>
      </c>
      <c r="E295" t="s">
        <v>330</v>
      </c>
      <c r="F295" t="s">
        <v>332</v>
      </c>
      <c r="G295" t="s">
        <v>340</v>
      </c>
      <c r="H295" t="s">
        <v>350</v>
      </c>
      <c r="I295">
        <v>11</v>
      </c>
      <c r="J295" s="9">
        <v>9765</v>
      </c>
      <c r="K295" s="9">
        <f t="shared" si="12"/>
        <v>107415</v>
      </c>
      <c r="L295" t="str">
        <f t="shared" si="13"/>
        <v>Sep-2024</v>
      </c>
      <c r="M295" t="str">
        <f t="shared" si="14"/>
        <v>Q3</v>
      </c>
    </row>
    <row r="296" spans="1:13" x14ac:dyDescent="0.3">
      <c r="A296" t="s">
        <v>304</v>
      </c>
      <c r="B296" s="3">
        <v>45402</v>
      </c>
      <c r="C296" t="s">
        <v>313</v>
      </c>
      <c r="D296" t="s">
        <v>323</v>
      </c>
      <c r="E296" t="s">
        <v>326</v>
      </c>
      <c r="F296" t="s">
        <v>332</v>
      </c>
      <c r="G296" t="s">
        <v>335</v>
      </c>
      <c r="H296" t="s">
        <v>344</v>
      </c>
      <c r="I296">
        <v>5</v>
      </c>
      <c r="J296" s="9">
        <v>6976</v>
      </c>
      <c r="K296" s="9">
        <f t="shared" si="12"/>
        <v>34880</v>
      </c>
      <c r="L296" t="str">
        <f t="shared" si="13"/>
        <v>Apr-2024</v>
      </c>
      <c r="M296" t="str">
        <f t="shared" si="14"/>
        <v>Q2</v>
      </c>
    </row>
    <row r="297" spans="1:13" x14ac:dyDescent="0.3">
      <c r="A297" t="s">
        <v>305</v>
      </c>
      <c r="B297" s="3">
        <v>45483</v>
      </c>
      <c r="C297" t="s">
        <v>312</v>
      </c>
      <c r="D297" t="s">
        <v>317</v>
      </c>
      <c r="E297" t="s">
        <v>328</v>
      </c>
      <c r="F297" t="s">
        <v>331</v>
      </c>
      <c r="G297" t="s">
        <v>334</v>
      </c>
      <c r="H297" t="s">
        <v>343</v>
      </c>
      <c r="I297">
        <v>11</v>
      </c>
      <c r="J297" s="9">
        <v>18558</v>
      </c>
      <c r="K297" s="9">
        <f t="shared" si="12"/>
        <v>204138</v>
      </c>
      <c r="L297" t="str">
        <f t="shared" si="13"/>
        <v>Jul-2024</v>
      </c>
      <c r="M297" t="str">
        <f t="shared" si="14"/>
        <v>Q3</v>
      </c>
    </row>
    <row r="298" spans="1:13" x14ac:dyDescent="0.3">
      <c r="A298" t="s">
        <v>306</v>
      </c>
      <c r="B298" s="3">
        <v>45446</v>
      </c>
      <c r="C298" t="s">
        <v>311</v>
      </c>
      <c r="D298" t="s">
        <v>315</v>
      </c>
      <c r="E298" t="s">
        <v>329</v>
      </c>
      <c r="F298" t="s">
        <v>333</v>
      </c>
      <c r="G298" t="s">
        <v>338</v>
      </c>
      <c r="H298" t="s">
        <v>348</v>
      </c>
      <c r="I298">
        <v>19</v>
      </c>
      <c r="J298" s="9">
        <v>25560</v>
      </c>
      <c r="K298" s="9">
        <f t="shared" si="12"/>
        <v>485640</v>
      </c>
      <c r="L298" t="str">
        <f t="shared" si="13"/>
        <v>Jun-2024</v>
      </c>
      <c r="M298" t="str">
        <f t="shared" si="14"/>
        <v>Q2</v>
      </c>
    </row>
    <row r="299" spans="1:13" x14ac:dyDescent="0.3">
      <c r="A299" t="s">
        <v>307</v>
      </c>
      <c r="B299" s="3">
        <v>45384</v>
      </c>
      <c r="C299" t="s">
        <v>313</v>
      </c>
      <c r="D299" t="s">
        <v>324</v>
      </c>
      <c r="E299" t="s">
        <v>326</v>
      </c>
      <c r="F299" t="s">
        <v>331</v>
      </c>
      <c r="G299" t="s">
        <v>339</v>
      </c>
      <c r="H299" t="s">
        <v>356</v>
      </c>
      <c r="I299">
        <v>5</v>
      </c>
      <c r="J299" s="9">
        <v>30263</v>
      </c>
      <c r="K299" s="9">
        <f t="shared" si="12"/>
        <v>151315</v>
      </c>
      <c r="L299" t="str">
        <f t="shared" si="13"/>
        <v>Apr-2024</v>
      </c>
      <c r="M299" t="str">
        <f t="shared" si="14"/>
        <v>Q2</v>
      </c>
    </row>
    <row r="300" spans="1:13" x14ac:dyDescent="0.3">
      <c r="A300" t="s">
        <v>308</v>
      </c>
      <c r="B300" s="3">
        <v>45453</v>
      </c>
      <c r="C300" t="s">
        <v>312</v>
      </c>
      <c r="D300" t="s">
        <v>325</v>
      </c>
      <c r="E300" t="s">
        <v>326</v>
      </c>
      <c r="F300" t="s">
        <v>331</v>
      </c>
      <c r="G300" t="s">
        <v>341</v>
      </c>
      <c r="H300" t="s">
        <v>351</v>
      </c>
      <c r="I300">
        <v>18</v>
      </c>
      <c r="J300" s="9">
        <v>41847</v>
      </c>
      <c r="K300" s="9">
        <f t="shared" si="12"/>
        <v>753246</v>
      </c>
      <c r="L300" t="str">
        <f t="shared" si="13"/>
        <v>Jun-2024</v>
      </c>
      <c r="M300" t="str">
        <f t="shared" si="14"/>
        <v>Q2</v>
      </c>
    </row>
    <row r="301" spans="1:13" x14ac:dyDescent="0.3">
      <c r="A301" t="s">
        <v>309</v>
      </c>
      <c r="B301" s="3">
        <v>45457</v>
      </c>
      <c r="C301" t="s">
        <v>313</v>
      </c>
      <c r="D301" t="s">
        <v>319</v>
      </c>
      <c r="E301" t="s">
        <v>326</v>
      </c>
      <c r="F301" t="s">
        <v>332</v>
      </c>
      <c r="G301" t="s">
        <v>340</v>
      </c>
      <c r="H301" t="s">
        <v>350</v>
      </c>
      <c r="I301">
        <v>13</v>
      </c>
      <c r="J301" s="9">
        <v>35344</v>
      </c>
      <c r="K301" s="9">
        <f t="shared" si="12"/>
        <v>459472</v>
      </c>
      <c r="L301" t="str">
        <f t="shared" si="13"/>
        <v>Jun-2024</v>
      </c>
      <c r="M301" t="str">
        <f>IF(MONTH(L301)&lt;=3,"Q1",IF(MONTH(L301)&lt;=6,"Q2",IF(MONTH(L301)&lt;=9,"Q3","Q4")))</f>
        <v>Q2</v>
      </c>
    </row>
  </sheetData>
  <conditionalFormatting sqref="K2:K30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5F9E-E27D-40CC-9DFE-CE7889B14345}">
  <sheetPr>
    <tabColor rgb="FFC00000"/>
  </sheetPr>
  <dimension ref="A3:B9"/>
  <sheetViews>
    <sheetView workbookViewId="0">
      <selection activeCell="B4" sqref="B4"/>
    </sheetView>
  </sheetViews>
  <sheetFormatPr defaultRowHeight="14.4" x14ac:dyDescent="0.3"/>
  <cols>
    <col min="1" max="1" width="12.5546875" bestFit="1" customWidth="1"/>
    <col min="2" max="2" width="20.21875" bestFit="1" customWidth="1"/>
  </cols>
  <sheetData>
    <row r="3" spans="1:2" x14ac:dyDescent="0.3">
      <c r="A3" s="4" t="s">
        <v>360</v>
      </c>
      <c r="B3" t="s">
        <v>367</v>
      </c>
    </row>
    <row r="4" spans="1:2" x14ac:dyDescent="0.3">
      <c r="A4" s="5" t="s">
        <v>311</v>
      </c>
      <c r="B4" s="7">
        <v>18136368</v>
      </c>
    </row>
    <row r="5" spans="1:2" x14ac:dyDescent="0.3">
      <c r="A5" s="5" t="s">
        <v>312</v>
      </c>
      <c r="B5" s="7">
        <v>18429976</v>
      </c>
    </row>
    <row r="6" spans="1:2" x14ac:dyDescent="0.3">
      <c r="A6" s="5" t="s">
        <v>310</v>
      </c>
      <c r="B6" s="7">
        <v>24751542</v>
      </c>
    </row>
    <row r="7" spans="1:2" x14ac:dyDescent="0.3">
      <c r="A7" s="5" t="s">
        <v>363</v>
      </c>
      <c r="B7" s="7">
        <v>1737317</v>
      </c>
    </row>
    <row r="8" spans="1:2" x14ac:dyDescent="0.3">
      <c r="A8" s="5" t="s">
        <v>313</v>
      </c>
      <c r="B8" s="7">
        <v>18480996</v>
      </c>
    </row>
    <row r="9" spans="1:2" x14ac:dyDescent="0.3">
      <c r="A9" s="5" t="s">
        <v>361</v>
      </c>
      <c r="B9" s="7">
        <v>81536199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7C8D-A249-4223-9BE1-9CCF086FDC19}">
  <sheetPr>
    <tabColor rgb="FF00B0F0"/>
  </sheetPr>
  <dimension ref="A2:C15"/>
  <sheetViews>
    <sheetView topLeftCell="A9" zoomScaleNormal="100" workbookViewId="0">
      <selection activeCell="B15" sqref="B15"/>
    </sheetView>
  </sheetViews>
  <sheetFormatPr defaultRowHeight="14.4" x14ac:dyDescent="0.3"/>
  <cols>
    <col min="1" max="1" width="12.5546875" bestFit="1" customWidth="1"/>
    <col min="2" max="2" width="20.21875" bestFit="1" customWidth="1"/>
    <col min="3" max="3" width="16.5546875" bestFit="1" customWidth="1"/>
  </cols>
  <sheetData>
    <row r="2" spans="1:3" x14ac:dyDescent="0.3">
      <c r="A2" s="4" t="s">
        <v>360</v>
      </c>
      <c r="B2" t="s">
        <v>367</v>
      </c>
      <c r="C2" t="s">
        <v>380</v>
      </c>
    </row>
    <row r="3" spans="1:3" x14ac:dyDescent="0.3">
      <c r="A3" s="5" t="s">
        <v>368</v>
      </c>
      <c r="B3" s="7">
        <v>8147926</v>
      </c>
      <c r="C3">
        <v>306</v>
      </c>
    </row>
    <row r="4" spans="1:3" x14ac:dyDescent="0.3">
      <c r="A4" s="5" t="s">
        <v>369</v>
      </c>
      <c r="B4" s="7">
        <v>6138144</v>
      </c>
      <c r="C4">
        <v>242</v>
      </c>
    </row>
    <row r="5" spans="1:3" x14ac:dyDescent="0.3">
      <c r="A5" s="5" t="s">
        <v>370</v>
      </c>
      <c r="B5" s="7">
        <v>4444904</v>
      </c>
      <c r="C5">
        <v>213</v>
      </c>
    </row>
    <row r="6" spans="1:3" x14ac:dyDescent="0.3">
      <c r="A6" s="5" t="s">
        <v>371</v>
      </c>
      <c r="B6" s="7">
        <v>4832210</v>
      </c>
      <c r="C6">
        <v>206</v>
      </c>
    </row>
    <row r="7" spans="1:3" x14ac:dyDescent="0.3">
      <c r="A7" s="5" t="s">
        <v>372</v>
      </c>
      <c r="B7" s="7">
        <v>5871322</v>
      </c>
      <c r="C7">
        <v>245</v>
      </c>
    </row>
    <row r="8" spans="1:3" x14ac:dyDescent="0.3">
      <c r="A8" s="5" t="s">
        <v>373</v>
      </c>
      <c r="B8" s="7">
        <v>7145156</v>
      </c>
      <c r="C8">
        <v>288</v>
      </c>
    </row>
    <row r="9" spans="1:3" x14ac:dyDescent="0.3">
      <c r="A9" s="5" t="s">
        <v>374</v>
      </c>
      <c r="B9" s="7">
        <v>6592159</v>
      </c>
      <c r="C9">
        <v>284</v>
      </c>
    </row>
    <row r="10" spans="1:3" x14ac:dyDescent="0.3">
      <c r="A10" s="5" t="s">
        <v>375</v>
      </c>
      <c r="B10" s="7">
        <v>6105214</v>
      </c>
      <c r="C10">
        <v>213</v>
      </c>
    </row>
    <row r="11" spans="1:3" x14ac:dyDescent="0.3">
      <c r="A11" s="5" t="s">
        <v>376</v>
      </c>
      <c r="B11" s="7">
        <v>11654128</v>
      </c>
      <c r="C11">
        <v>426</v>
      </c>
    </row>
    <row r="12" spans="1:3" x14ac:dyDescent="0.3">
      <c r="A12" s="5" t="s">
        <v>377</v>
      </c>
      <c r="B12" s="7">
        <v>9628802</v>
      </c>
      <c r="C12">
        <v>344</v>
      </c>
    </row>
    <row r="13" spans="1:3" x14ac:dyDescent="0.3">
      <c r="A13" s="5" t="s">
        <v>378</v>
      </c>
      <c r="B13" s="7">
        <v>3123725</v>
      </c>
      <c r="C13">
        <v>120</v>
      </c>
    </row>
    <row r="14" spans="1:3" x14ac:dyDescent="0.3">
      <c r="A14" s="5" t="s">
        <v>379</v>
      </c>
      <c r="B14" s="7">
        <v>7852509</v>
      </c>
      <c r="C14">
        <v>257</v>
      </c>
    </row>
    <row r="15" spans="1:3" x14ac:dyDescent="0.3">
      <c r="A15" s="5" t="s">
        <v>361</v>
      </c>
      <c r="B15" s="7">
        <v>81536199</v>
      </c>
      <c r="C15">
        <v>3144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FEB6-E27B-49AD-82C2-DDC5AF20F5B4}">
  <sheetPr>
    <tabColor rgb="FFFFFF00"/>
  </sheetPr>
  <dimension ref="A3:C22"/>
  <sheetViews>
    <sheetView workbookViewId="0">
      <selection activeCell="K7" sqref="K7"/>
    </sheetView>
  </sheetViews>
  <sheetFormatPr defaultRowHeight="14.4" x14ac:dyDescent="0.3"/>
  <cols>
    <col min="1" max="1" width="13.109375" bestFit="1" customWidth="1"/>
    <col min="2" max="2" width="20.21875" bestFit="1" customWidth="1"/>
    <col min="3" max="3" width="16.5546875" bestFit="1" customWidth="1"/>
    <col min="8" max="8" width="15.5546875" bestFit="1" customWidth="1"/>
    <col min="9" max="9" width="20.21875" bestFit="1" customWidth="1"/>
    <col min="10" max="10" width="16.5546875" bestFit="1" customWidth="1"/>
  </cols>
  <sheetData>
    <row r="3" spans="1:3" x14ac:dyDescent="0.3">
      <c r="A3" s="4" t="s">
        <v>360</v>
      </c>
      <c r="B3" t="s">
        <v>367</v>
      </c>
      <c r="C3" t="s">
        <v>380</v>
      </c>
    </row>
    <row r="4" spans="1:3" x14ac:dyDescent="0.3">
      <c r="A4" s="5" t="s">
        <v>331</v>
      </c>
      <c r="B4" s="7">
        <v>20484512</v>
      </c>
      <c r="C4">
        <v>820</v>
      </c>
    </row>
    <row r="5" spans="1:3" x14ac:dyDescent="0.3">
      <c r="A5" s="11" t="s">
        <v>339</v>
      </c>
      <c r="B5" s="7">
        <v>6341750</v>
      </c>
      <c r="C5">
        <v>248</v>
      </c>
    </row>
    <row r="6" spans="1:3" x14ac:dyDescent="0.3">
      <c r="A6" s="11" t="s">
        <v>334</v>
      </c>
      <c r="B6" s="7">
        <v>8450343</v>
      </c>
      <c r="C6">
        <v>347</v>
      </c>
    </row>
    <row r="7" spans="1:3" x14ac:dyDescent="0.3">
      <c r="A7" s="11" t="s">
        <v>341</v>
      </c>
      <c r="B7" s="7">
        <v>5692419</v>
      </c>
      <c r="C7">
        <v>225</v>
      </c>
    </row>
    <row r="8" spans="1:3" x14ac:dyDescent="0.3">
      <c r="A8" s="5" t="s">
        <v>333</v>
      </c>
      <c r="B8" s="7">
        <v>29047738</v>
      </c>
      <c r="C8">
        <v>1143</v>
      </c>
    </row>
    <row r="9" spans="1:3" x14ac:dyDescent="0.3">
      <c r="A9" s="11" t="s">
        <v>337</v>
      </c>
      <c r="B9" s="7">
        <v>11585638</v>
      </c>
      <c r="C9">
        <v>406</v>
      </c>
    </row>
    <row r="10" spans="1:3" x14ac:dyDescent="0.3">
      <c r="A10" s="11" t="s">
        <v>342</v>
      </c>
      <c r="B10" s="7">
        <v>8749253</v>
      </c>
      <c r="C10">
        <v>350</v>
      </c>
    </row>
    <row r="11" spans="1:3" x14ac:dyDescent="0.3">
      <c r="A11" s="11" t="s">
        <v>338</v>
      </c>
      <c r="B11" s="7">
        <v>8712847</v>
      </c>
      <c r="C11">
        <v>387</v>
      </c>
    </row>
    <row r="12" spans="1:3" x14ac:dyDescent="0.3">
      <c r="A12" s="5" t="s">
        <v>332</v>
      </c>
      <c r="B12" s="7">
        <v>32003949</v>
      </c>
      <c r="C12">
        <v>1181</v>
      </c>
    </row>
    <row r="13" spans="1:3" x14ac:dyDescent="0.3">
      <c r="A13" s="11" t="s">
        <v>340</v>
      </c>
      <c r="B13" s="7">
        <v>11661961</v>
      </c>
      <c r="C13">
        <v>410</v>
      </c>
    </row>
    <row r="14" spans="1:3" x14ac:dyDescent="0.3">
      <c r="A14" s="11" t="s">
        <v>335</v>
      </c>
      <c r="B14" s="7">
        <v>12572513</v>
      </c>
      <c r="C14">
        <v>427</v>
      </c>
    </row>
    <row r="15" spans="1:3" x14ac:dyDescent="0.3">
      <c r="A15" s="11" t="s">
        <v>336</v>
      </c>
      <c r="B15" s="7">
        <v>7769475</v>
      </c>
      <c r="C15">
        <v>344</v>
      </c>
    </row>
    <row r="16" spans="1:3" x14ac:dyDescent="0.3">
      <c r="A16" s="5" t="s">
        <v>361</v>
      </c>
      <c r="B16" s="7">
        <v>81536199</v>
      </c>
      <c r="C16">
        <v>3144</v>
      </c>
    </row>
    <row r="18" spans="1:3" x14ac:dyDescent="0.3">
      <c r="A18" s="4" t="s">
        <v>360</v>
      </c>
      <c r="B18" t="s">
        <v>367</v>
      </c>
      <c r="C18" t="s">
        <v>380</v>
      </c>
    </row>
    <row r="19" spans="1:3" x14ac:dyDescent="0.3">
      <c r="A19" s="5" t="s">
        <v>331</v>
      </c>
      <c r="B19" s="7">
        <v>20484512</v>
      </c>
      <c r="C19">
        <v>820</v>
      </c>
    </row>
    <row r="20" spans="1:3" x14ac:dyDescent="0.3">
      <c r="A20" s="5" t="s">
        <v>333</v>
      </c>
      <c r="B20" s="7">
        <v>29047738</v>
      </c>
      <c r="C20">
        <v>1143</v>
      </c>
    </row>
    <row r="21" spans="1:3" x14ac:dyDescent="0.3">
      <c r="A21" s="5" t="s">
        <v>332</v>
      </c>
      <c r="B21" s="7">
        <v>32003949</v>
      </c>
      <c r="C21">
        <v>1181</v>
      </c>
    </row>
    <row r="22" spans="1:3" x14ac:dyDescent="0.3">
      <c r="A22" s="5" t="s">
        <v>361</v>
      </c>
      <c r="B22" s="7">
        <v>81536199</v>
      </c>
      <c r="C22">
        <v>3144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733B-EADA-4401-9A14-29BA2BF795F6}">
  <sheetPr>
    <tabColor rgb="FF92D050"/>
  </sheetPr>
  <dimension ref="A3:D10"/>
  <sheetViews>
    <sheetView topLeftCell="A2" workbookViewId="0">
      <selection activeCell="C9" sqref="C9"/>
    </sheetView>
  </sheetViews>
  <sheetFormatPr defaultRowHeight="14.4" x14ac:dyDescent="0.3"/>
  <cols>
    <col min="1" max="1" width="12.5546875" bestFit="1" customWidth="1"/>
    <col min="2" max="2" width="20.21875" bestFit="1" customWidth="1"/>
    <col min="3" max="3" width="16.5546875" bestFit="1" customWidth="1"/>
    <col min="4" max="4" width="16.44140625" bestFit="1" customWidth="1"/>
  </cols>
  <sheetData>
    <row r="3" spans="1:4" x14ac:dyDescent="0.3">
      <c r="A3" s="4" t="s">
        <v>360</v>
      </c>
      <c r="B3" t="s">
        <v>367</v>
      </c>
      <c r="C3" t="s">
        <v>380</v>
      </c>
      <c r="D3" t="s">
        <v>381</v>
      </c>
    </row>
    <row r="4" spans="1:4" x14ac:dyDescent="0.3">
      <c r="A4" s="5" t="s">
        <v>330</v>
      </c>
      <c r="B4" s="7">
        <v>18291400</v>
      </c>
      <c r="C4">
        <v>658</v>
      </c>
      <c r="D4">
        <v>62</v>
      </c>
    </row>
    <row r="5" spans="1:4" x14ac:dyDescent="0.3">
      <c r="A5" s="5" t="s">
        <v>328</v>
      </c>
      <c r="B5" s="7">
        <v>13694982</v>
      </c>
      <c r="C5">
        <v>537</v>
      </c>
      <c r="D5">
        <v>55</v>
      </c>
    </row>
    <row r="6" spans="1:4" x14ac:dyDescent="0.3">
      <c r="A6" s="5" t="s">
        <v>329</v>
      </c>
      <c r="B6" s="7">
        <v>18931680</v>
      </c>
      <c r="C6">
        <v>747</v>
      </c>
      <c r="D6">
        <v>69</v>
      </c>
    </row>
    <row r="7" spans="1:4" x14ac:dyDescent="0.3">
      <c r="A7" s="5" t="s">
        <v>326</v>
      </c>
      <c r="B7" s="7">
        <v>15862368</v>
      </c>
      <c r="C7">
        <v>652</v>
      </c>
      <c r="D7">
        <v>60</v>
      </c>
    </row>
    <row r="8" spans="1:4" x14ac:dyDescent="0.3">
      <c r="A8" s="5" t="s">
        <v>327</v>
      </c>
      <c r="B8" s="7">
        <v>12957575</v>
      </c>
      <c r="C8">
        <v>468</v>
      </c>
      <c r="D8">
        <v>46</v>
      </c>
    </row>
    <row r="9" spans="1:4" x14ac:dyDescent="0.3">
      <c r="A9" s="5" t="s">
        <v>363</v>
      </c>
      <c r="B9" s="7">
        <v>1798194</v>
      </c>
      <c r="C9">
        <v>82</v>
      </c>
      <c r="D9">
        <v>8</v>
      </c>
    </row>
    <row r="10" spans="1:4" x14ac:dyDescent="0.3">
      <c r="A10" s="5" t="s">
        <v>361</v>
      </c>
      <c r="B10" s="7">
        <v>81536199</v>
      </c>
      <c r="C10">
        <v>3144</v>
      </c>
      <c r="D10">
        <v>300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7E4D-6132-4C12-A319-8BA702C65220}">
  <sheetPr>
    <tabColor theme="7"/>
  </sheetPr>
  <dimension ref="A3:E9"/>
  <sheetViews>
    <sheetView zoomScale="69" workbookViewId="0">
      <selection activeCell="F5" sqref="F5"/>
    </sheetView>
  </sheetViews>
  <sheetFormatPr defaultRowHeight="14.4" x14ac:dyDescent="0.3"/>
  <cols>
    <col min="1" max="1" width="21" bestFit="1" customWidth="1"/>
    <col min="2" max="2" width="17" bestFit="1" customWidth="1"/>
    <col min="3" max="3" width="12.5546875" bestFit="1" customWidth="1"/>
    <col min="4" max="4" width="14" bestFit="1" customWidth="1"/>
    <col min="5" max="5" width="12.5546875" bestFit="1" customWidth="1"/>
    <col min="6" max="6" width="21" bestFit="1" customWidth="1"/>
    <col min="7" max="7" width="26" bestFit="1" customWidth="1"/>
    <col min="8" max="8" width="22.33203125" bestFit="1" customWidth="1"/>
    <col min="9" max="9" width="21" bestFit="1" customWidth="1"/>
    <col min="10" max="10" width="26" bestFit="1" customWidth="1"/>
    <col min="11" max="11" width="22" bestFit="1" customWidth="1"/>
    <col min="12" max="13" width="22.33203125" bestFit="1" customWidth="1"/>
  </cols>
  <sheetData>
    <row r="3" spans="1:5" x14ac:dyDescent="0.3">
      <c r="A3" s="4" t="s">
        <v>367</v>
      </c>
      <c r="B3" s="4" t="s">
        <v>362</v>
      </c>
    </row>
    <row r="4" spans="1:5" x14ac:dyDescent="0.3">
      <c r="A4" s="4" t="s">
        <v>360</v>
      </c>
      <c r="B4" t="s">
        <v>331</v>
      </c>
      <c r="C4" t="s">
        <v>333</v>
      </c>
      <c r="D4" t="s">
        <v>332</v>
      </c>
      <c r="E4" t="s">
        <v>361</v>
      </c>
    </row>
    <row r="5" spans="1:5" x14ac:dyDescent="0.3">
      <c r="A5" s="5" t="s">
        <v>382</v>
      </c>
      <c r="B5" s="7">
        <v>5407752</v>
      </c>
      <c r="C5" s="7">
        <v>7017554</v>
      </c>
      <c r="D5" s="7">
        <v>6305668</v>
      </c>
      <c r="E5" s="7">
        <v>18730974</v>
      </c>
    </row>
    <row r="6" spans="1:5" x14ac:dyDescent="0.3">
      <c r="A6" s="5" t="s">
        <v>383</v>
      </c>
      <c r="B6" s="7">
        <v>6501040</v>
      </c>
      <c r="C6" s="7">
        <v>7009480</v>
      </c>
      <c r="D6" s="7">
        <v>4338168</v>
      </c>
      <c r="E6" s="7">
        <v>17848688</v>
      </c>
    </row>
    <row r="7" spans="1:5" x14ac:dyDescent="0.3">
      <c r="A7" s="5" t="s">
        <v>384</v>
      </c>
      <c r="B7" s="7">
        <v>5601236</v>
      </c>
      <c r="C7" s="7">
        <v>8118016</v>
      </c>
      <c r="D7" s="7">
        <v>10632249</v>
      </c>
      <c r="E7" s="7">
        <v>24351501</v>
      </c>
    </row>
    <row r="8" spans="1:5" x14ac:dyDescent="0.3">
      <c r="A8" s="5" t="s">
        <v>385</v>
      </c>
      <c r="B8" s="7">
        <v>2974484</v>
      </c>
      <c r="C8" s="7">
        <v>6902688</v>
      </c>
      <c r="D8" s="7">
        <v>10727864</v>
      </c>
      <c r="E8" s="7">
        <v>20605036</v>
      </c>
    </row>
    <row r="9" spans="1:5" x14ac:dyDescent="0.3">
      <c r="A9" s="5" t="s">
        <v>361</v>
      </c>
      <c r="B9" s="7">
        <v>20484512</v>
      </c>
      <c r="C9" s="7">
        <v>29047738</v>
      </c>
      <c r="D9" s="7">
        <v>32003949</v>
      </c>
      <c r="E9" s="7">
        <v>81536199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CA06-4B0A-414B-8732-AA97DD142A70}">
  <sheetPr>
    <tabColor theme="9" tint="0.39997558519241921"/>
  </sheetPr>
  <dimension ref="A1:E4"/>
  <sheetViews>
    <sheetView workbookViewId="0">
      <selection activeCell="A4" sqref="A4"/>
    </sheetView>
  </sheetViews>
  <sheetFormatPr defaultRowHeight="14.4" x14ac:dyDescent="0.3"/>
  <cols>
    <col min="5" max="5" width="12.6640625" bestFit="1" customWidth="1"/>
  </cols>
  <sheetData>
    <row r="1" spans="1:5" x14ac:dyDescent="0.3">
      <c r="A1" s="36" t="s">
        <v>409</v>
      </c>
      <c r="B1" s="36"/>
      <c r="C1" s="36"/>
      <c r="D1" s="36"/>
      <c r="E1" s="36"/>
    </row>
    <row r="3" spans="1:5" x14ac:dyDescent="0.3">
      <c r="A3" t="s">
        <v>408</v>
      </c>
      <c r="B3" t="s">
        <v>2</v>
      </c>
      <c r="C3" t="s">
        <v>4</v>
      </c>
      <c r="D3" t="s">
        <v>7</v>
      </c>
      <c r="E3" s="20" t="s">
        <v>364</v>
      </c>
    </row>
    <row r="4" spans="1:5" x14ac:dyDescent="0.3">
      <c r="A4" t="s">
        <v>10</v>
      </c>
      <c r="B4" t="str">
        <f>VLOOKUP($A$4,cleaned_data!$A$1:$M$301,MATCH(B$3,cleaned_data!$A$1:$M$1,0),FALSE)</f>
        <v>South</v>
      </c>
      <c r="C4" t="str">
        <f>VLOOKUP($A$4,cleaned_data!$A$1:$M$301,MATCH(C$3,cleaned_data!$A$1:$M$1,0),FALSE)</f>
        <v>Priya Mehta</v>
      </c>
      <c r="D4" t="str">
        <f>VLOOKUP($A$4,cleaned_data!$A$1:$M$301,MATCH(D$3,cleaned_data!$A$1:$M$1,0),FALSE)</f>
        <v>iPhone</v>
      </c>
      <c r="E4" s="17">
        <f>VLOOKUP($A$4,cleaned_data!$A$1:$M$301,MATCH(E$3,cleaned_data!$A$1:$M$1,0),FALSE)</f>
        <v>686432</v>
      </c>
    </row>
  </sheetData>
  <mergeCells count="1">
    <mergeCell ref="A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F20040-D7CC-425E-9670-3EC42B353D37}">
          <x14:formula1>
            <xm:f>cleaned_data!$A$2:$A$301</xm:f>
          </x14:formula1>
          <xm:sqref>A4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7060-7DDD-4CF7-8624-36E9E054A2DE}">
  <dimension ref="A1:J314"/>
  <sheetViews>
    <sheetView workbookViewId="0">
      <selection activeCell="C24" sqref="C24"/>
    </sheetView>
  </sheetViews>
  <sheetFormatPr defaultRowHeight="14.4" x14ac:dyDescent="0.3"/>
  <cols>
    <col min="1" max="1" width="12" customWidth="1"/>
    <col min="2" max="2" width="14" customWidth="1"/>
    <col min="3" max="3" width="10" customWidth="1"/>
    <col min="4" max="4" width="14" customWidth="1"/>
    <col min="5" max="5" width="18" customWidth="1"/>
    <col min="6" max="8" width="14" customWidth="1"/>
    <col min="9" max="10" width="12" customWidth="1"/>
  </cols>
  <sheetData>
    <row r="1" spans="1:10" x14ac:dyDescent="0.3">
      <c r="A1" s="24" t="s">
        <v>0</v>
      </c>
      <c r="B1" s="24" t="s">
        <v>1</v>
      </c>
      <c r="C1" s="24" t="s">
        <v>2</v>
      </c>
      <c r="D1" s="24" t="s">
        <v>3</v>
      </c>
      <c r="E1" s="24" t="s">
        <v>4</v>
      </c>
      <c r="F1" s="24" t="s">
        <v>5</v>
      </c>
      <c r="G1" s="24" t="s">
        <v>6</v>
      </c>
      <c r="H1" s="24" t="s">
        <v>7</v>
      </c>
      <c r="I1" s="24" t="s">
        <v>8</v>
      </c>
      <c r="J1" s="24" t="s">
        <v>9</v>
      </c>
    </row>
    <row r="2" spans="1:10" x14ac:dyDescent="0.3">
      <c r="A2" t="s">
        <v>10</v>
      </c>
      <c r="B2" t="s">
        <v>410</v>
      </c>
      <c r="C2" t="s">
        <v>310</v>
      </c>
      <c r="D2" t="s">
        <v>314</v>
      </c>
      <c r="E2" t="s">
        <v>326</v>
      </c>
      <c r="F2" t="s">
        <v>331</v>
      </c>
      <c r="G2" t="s">
        <v>334</v>
      </c>
      <c r="H2" t="s">
        <v>343</v>
      </c>
      <c r="I2">
        <v>16</v>
      </c>
      <c r="J2">
        <v>42902</v>
      </c>
    </row>
    <row r="3" spans="1:10" x14ac:dyDescent="0.3">
      <c r="A3" t="s">
        <v>11</v>
      </c>
      <c r="B3" t="s">
        <v>411</v>
      </c>
      <c r="D3" t="s">
        <v>315</v>
      </c>
      <c r="E3" t="s">
        <v>326</v>
      </c>
      <c r="F3" t="s">
        <v>331</v>
      </c>
      <c r="G3" t="s">
        <v>334</v>
      </c>
      <c r="H3" t="s">
        <v>343</v>
      </c>
      <c r="I3">
        <v>20</v>
      </c>
      <c r="J3">
        <v>338</v>
      </c>
    </row>
    <row r="4" spans="1:10" x14ac:dyDescent="0.3">
      <c r="A4" t="s">
        <v>12</v>
      </c>
      <c r="B4" t="s">
        <v>412</v>
      </c>
      <c r="C4" t="s">
        <v>311</v>
      </c>
      <c r="D4" t="s">
        <v>413</v>
      </c>
      <c r="E4" t="s">
        <v>327</v>
      </c>
      <c r="F4" t="s">
        <v>332</v>
      </c>
      <c r="G4" t="s">
        <v>335</v>
      </c>
      <c r="H4" t="s">
        <v>344</v>
      </c>
      <c r="I4">
        <v>1</v>
      </c>
      <c r="J4">
        <v>1867</v>
      </c>
    </row>
    <row r="5" spans="1:10" x14ac:dyDescent="0.3">
      <c r="A5" t="s">
        <v>13</v>
      </c>
      <c r="B5" t="s">
        <v>414</v>
      </c>
      <c r="C5" t="s">
        <v>312</v>
      </c>
      <c r="D5" t="s">
        <v>317</v>
      </c>
      <c r="E5" t="s">
        <v>328</v>
      </c>
      <c r="F5" t="s">
        <v>332</v>
      </c>
      <c r="G5" t="s">
        <v>335</v>
      </c>
      <c r="H5" t="s">
        <v>345</v>
      </c>
      <c r="I5">
        <v>8</v>
      </c>
      <c r="J5">
        <v>28897</v>
      </c>
    </row>
    <row r="6" spans="1:10" x14ac:dyDescent="0.3">
      <c r="A6" t="s">
        <v>14</v>
      </c>
      <c r="B6" t="s">
        <v>415</v>
      </c>
      <c r="C6" t="s">
        <v>311</v>
      </c>
      <c r="D6" t="s">
        <v>318</v>
      </c>
      <c r="E6" t="s">
        <v>363</v>
      </c>
      <c r="F6" t="s">
        <v>331</v>
      </c>
      <c r="G6" t="s">
        <v>334</v>
      </c>
      <c r="H6" t="s">
        <v>343</v>
      </c>
      <c r="I6">
        <v>15</v>
      </c>
      <c r="J6">
        <v>19191</v>
      </c>
    </row>
    <row r="7" spans="1:10" x14ac:dyDescent="0.3">
      <c r="A7" t="s">
        <v>15</v>
      </c>
      <c r="B7" t="s">
        <v>416</v>
      </c>
      <c r="C7" t="s">
        <v>312</v>
      </c>
      <c r="D7" t="s">
        <v>317</v>
      </c>
      <c r="E7" t="s">
        <v>329</v>
      </c>
      <c r="F7" t="s">
        <v>332</v>
      </c>
      <c r="G7" t="s">
        <v>336</v>
      </c>
      <c r="H7" t="s">
        <v>346</v>
      </c>
      <c r="I7">
        <v>4</v>
      </c>
      <c r="J7">
        <v>48902</v>
      </c>
    </row>
    <row r="8" spans="1:10" x14ac:dyDescent="0.3">
      <c r="A8" t="s">
        <v>16</v>
      </c>
      <c r="B8" s="25">
        <v>45551</v>
      </c>
      <c r="C8" t="s">
        <v>313</v>
      </c>
      <c r="D8" t="s">
        <v>319</v>
      </c>
      <c r="E8" t="s">
        <v>330</v>
      </c>
      <c r="F8" t="s">
        <v>332</v>
      </c>
      <c r="G8" t="s">
        <v>336</v>
      </c>
      <c r="H8" t="s">
        <v>346</v>
      </c>
      <c r="I8">
        <v>10</v>
      </c>
      <c r="J8">
        <v>18822</v>
      </c>
    </row>
    <row r="9" spans="1:10" x14ac:dyDescent="0.3">
      <c r="A9" t="s">
        <v>17</v>
      </c>
      <c r="B9" t="s">
        <v>417</v>
      </c>
      <c r="C9" t="s">
        <v>311</v>
      </c>
      <c r="D9" t="s">
        <v>318</v>
      </c>
      <c r="E9" t="s">
        <v>330</v>
      </c>
      <c r="F9" t="s">
        <v>333</v>
      </c>
      <c r="G9" t="s">
        <v>337</v>
      </c>
      <c r="H9" t="s">
        <v>347</v>
      </c>
      <c r="I9">
        <v>13</v>
      </c>
      <c r="J9">
        <v>27352</v>
      </c>
    </row>
    <row r="10" spans="1:10" x14ac:dyDescent="0.3">
      <c r="A10" t="s">
        <v>18</v>
      </c>
      <c r="B10" t="s">
        <v>418</v>
      </c>
      <c r="C10" t="s">
        <v>310</v>
      </c>
      <c r="D10" t="s">
        <v>320</v>
      </c>
      <c r="E10" t="s">
        <v>326</v>
      </c>
      <c r="F10" t="s">
        <v>332</v>
      </c>
      <c r="G10" t="s">
        <v>336</v>
      </c>
      <c r="H10" t="s">
        <v>346</v>
      </c>
      <c r="I10" t="s">
        <v>419</v>
      </c>
      <c r="J10">
        <v>7273</v>
      </c>
    </row>
    <row r="11" spans="1:10" x14ac:dyDescent="0.3">
      <c r="A11" t="s">
        <v>19</v>
      </c>
      <c r="B11" t="s">
        <v>420</v>
      </c>
      <c r="C11" t="s">
        <v>421</v>
      </c>
      <c r="D11" t="s">
        <v>314</v>
      </c>
      <c r="E11" t="s">
        <v>326</v>
      </c>
      <c r="F11" t="s">
        <v>333</v>
      </c>
      <c r="G11" t="s">
        <v>338</v>
      </c>
      <c r="H11" t="s">
        <v>348</v>
      </c>
      <c r="I11">
        <v>2</v>
      </c>
      <c r="J11">
        <v>20419</v>
      </c>
    </row>
    <row r="12" spans="1:10" x14ac:dyDescent="0.3">
      <c r="A12" t="s">
        <v>20</v>
      </c>
      <c r="B12" t="s">
        <v>422</v>
      </c>
      <c r="C12" t="s">
        <v>311</v>
      </c>
      <c r="D12" t="s">
        <v>423</v>
      </c>
      <c r="E12" t="s">
        <v>327</v>
      </c>
      <c r="F12" t="s">
        <v>331</v>
      </c>
      <c r="G12" t="s">
        <v>339</v>
      </c>
      <c r="H12" t="s">
        <v>349</v>
      </c>
      <c r="I12" t="s">
        <v>424</v>
      </c>
      <c r="J12">
        <v>35564</v>
      </c>
    </row>
    <row r="13" spans="1:10" x14ac:dyDescent="0.3">
      <c r="A13" t="s">
        <v>21</v>
      </c>
      <c r="B13" t="s">
        <v>425</v>
      </c>
      <c r="C13" t="s">
        <v>310</v>
      </c>
      <c r="D13" t="s">
        <v>320</v>
      </c>
      <c r="E13" t="s">
        <v>329</v>
      </c>
      <c r="F13" t="s">
        <v>332</v>
      </c>
      <c r="G13" t="s">
        <v>340</v>
      </c>
      <c r="H13" t="s">
        <v>350</v>
      </c>
      <c r="I13">
        <v>18</v>
      </c>
      <c r="J13">
        <v>40107</v>
      </c>
    </row>
    <row r="14" spans="1:10" x14ac:dyDescent="0.3">
      <c r="A14" t="s">
        <v>22</v>
      </c>
      <c r="B14" s="25">
        <v>45557</v>
      </c>
      <c r="C14" t="s">
        <v>312</v>
      </c>
      <c r="D14" t="s">
        <v>317</v>
      </c>
      <c r="E14" t="s">
        <v>328</v>
      </c>
      <c r="F14" t="s">
        <v>332</v>
      </c>
      <c r="G14" t="s">
        <v>336</v>
      </c>
      <c r="H14" t="s">
        <v>346</v>
      </c>
      <c r="I14">
        <v>7</v>
      </c>
      <c r="J14">
        <v>28124</v>
      </c>
    </row>
    <row r="15" spans="1:10" x14ac:dyDescent="0.3">
      <c r="A15" t="s">
        <v>23</v>
      </c>
      <c r="B15" t="s">
        <v>426</v>
      </c>
      <c r="C15" t="s">
        <v>427</v>
      </c>
      <c r="D15" t="s">
        <v>317</v>
      </c>
      <c r="E15" t="s">
        <v>326</v>
      </c>
      <c r="F15" t="s">
        <v>333</v>
      </c>
      <c r="G15" t="s">
        <v>337</v>
      </c>
      <c r="H15" t="s">
        <v>347</v>
      </c>
      <c r="I15">
        <v>16</v>
      </c>
      <c r="J15">
        <v>23582</v>
      </c>
    </row>
    <row r="16" spans="1:10" x14ac:dyDescent="0.3">
      <c r="A16" t="s">
        <v>24</v>
      </c>
      <c r="B16" t="s">
        <v>428</v>
      </c>
      <c r="C16" t="s">
        <v>311</v>
      </c>
      <c r="D16" t="s">
        <v>316</v>
      </c>
      <c r="E16" t="s">
        <v>328</v>
      </c>
      <c r="F16" t="s">
        <v>331</v>
      </c>
      <c r="G16" t="s">
        <v>341</v>
      </c>
      <c r="H16" t="s">
        <v>351</v>
      </c>
      <c r="I16">
        <v>1</v>
      </c>
      <c r="J16">
        <v>15247</v>
      </c>
    </row>
    <row r="17" spans="1:10" x14ac:dyDescent="0.3">
      <c r="A17" t="s">
        <v>25</v>
      </c>
      <c r="B17" t="s">
        <v>429</v>
      </c>
      <c r="C17" t="s">
        <v>310</v>
      </c>
      <c r="D17" t="s">
        <v>363</v>
      </c>
      <c r="E17" t="s">
        <v>430</v>
      </c>
      <c r="F17" t="s">
        <v>332</v>
      </c>
      <c r="G17" t="s">
        <v>335</v>
      </c>
      <c r="H17" t="s">
        <v>344</v>
      </c>
      <c r="I17">
        <v>2</v>
      </c>
      <c r="J17">
        <v>44313</v>
      </c>
    </row>
    <row r="18" spans="1:10" x14ac:dyDescent="0.3">
      <c r="A18" t="s">
        <v>26</v>
      </c>
      <c r="B18" t="s">
        <v>431</v>
      </c>
      <c r="C18" t="s">
        <v>312</v>
      </c>
      <c r="D18" t="s">
        <v>321</v>
      </c>
      <c r="E18" t="s">
        <v>330</v>
      </c>
      <c r="F18" t="s">
        <v>331</v>
      </c>
      <c r="G18" t="s">
        <v>334</v>
      </c>
      <c r="H18" t="s">
        <v>343</v>
      </c>
      <c r="I18">
        <v>9</v>
      </c>
      <c r="J18">
        <v>7375</v>
      </c>
    </row>
    <row r="19" spans="1:10" x14ac:dyDescent="0.3">
      <c r="A19" t="s">
        <v>27</v>
      </c>
      <c r="B19" t="s">
        <v>432</v>
      </c>
      <c r="C19" t="s">
        <v>310</v>
      </c>
      <c r="D19" t="s">
        <v>320</v>
      </c>
      <c r="E19" t="s">
        <v>329</v>
      </c>
      <c r="F19" t="s">
        <v>333</v>
      </c>
      <c r="G19" t="s">
        <v>342</v>
      </c>
      <c r="H19" t="s">
        <v>352</v>
      </c>
      <c r="I19" t="s">
        <v>419</v>
      </c>
      <c r="J19">
        <v>11219</v>
      </c>
    </row>
    <row r="20" spans="1:10" x14ac:dyDescent="0.3">
      <c r="A20" t="s">
        <v>28</v>
      </c>
      <c r="B20" s="25">
        <v>45651</v>
      </c>
      <c r="C20" t="s">
        <v>313</v>
      </c>
      <c r="D20" t="s">
        <v>319</v>
      </c>
      <c r="E20" t="s">
        <v>329</v>
      </c>
      <c r="F20" t="s">
        <v>332</v>
      </c>
      <c r="G20" t="s">
        <v>340</v>
      </c>
      <c r="H20" t="s">
        <v>350</v>
      </c>
      <c r="I20">
        <v>16</v>
      </c>
      <c r="J20">
        <v>31249</v>
      </c>
    </row>
    <row r="21" spans="1:10" x14ac:dyDescent="0.3">
      <c r="A21" t="s">
        <v>29</v>
      </c>
      <c r="B21" s="25">
        <v>45507</v>
      </c>
      <c r="C21" t="s">
        <v>312</v>
      </c>
      <c r="D21" t="s">
        <v>321</v>
      </c>
      <c r="E21" t="s">
        <v>433</v>
      </c>
      <c r="F21" t="s">
        <v>333</v>
      </c>
      <c r="G21" t="s">
        <v>338</v>
      </c>
      <c r="H21" t="s">
        <v>348</v>
      </c>
      <c r="I21">
        <v>9</v>
      </c>
      <c r="J21">
        <v>7327</v>
      </c>
    </row>
    <row r="22" spans="1:10" x14ac:dyDescent="0.3">
      <c r="A22" t="s">
        <v>30</v>
      </c>
      <c r="B22" t="s">
        <v>434</v>
      </c>
      <c r="C22" t="s">
        <v>313</v>
      </c>
      <c r="D22" t="s">
        <v>319</v>
      </c>
      <c r="E22" t="s">
        <v>330</v>
      </c>
      <c r="F22" t="s">
        <v>332</v>
      </c>
      <c r="G22" t="s">
        <v>335</v>
      </c>
      <c r="H22" t="s">
        <v>345</v>
      </c>
      <c r="I22">
        <v>1</v>
      </c>
      <c r="J22">
        <v>26238</v>
      </c>
    </row>
    <row r="23" spans="1:10" x14ac:dyDescent="0.3">
      <c r="A23" t="s">
        <v>31</v>
      </c>
      <c r="B23" t="s">
        <v>435</v>
      </c>
      <c r="C23" t="s">
        <v>421</v>
      </c>
      <c r="D23" t="s">
        <v>322</v>
      </c>
      <c r="E23" t="s">
        <v>328</v>
      </c>
      <c r="F23" t="s">
        <v>332</v>
      </c>
      <c r="G23" t="s">
        <v>335</v>
      </c>
      <c r="H23" t="s">
        <v>345</v>
      </c>
      <c r="I23">
        <v>14</v>
      </c>
      <c r="J23">
        <v>35897</v>
      </c>
    </row>
    <row r="24" spans="1:10" x14ac:dyDescent="0.3">
      <c r="A24" t="s">
        <v>32</v>
      </c>
      <c r="B24" t="s">
        <v>436</v>
      </c>
      <c r="C24" t="s">
        <v>310</v>
      </c>
      <c r="D24" t="s">
        <v>314</v>
      </c>
      <c r="E24" t="s">
        <v>328</v>
      </c>
      <c r="F24" t="s">
        <v>332</v>
      </c>
      <c r="G24" t="s">
        <v>336</v>
      </c>
      <c r="H24" t="s">
        <v>346</v>
      </c>
      <c r="I24">
        <v>1</v>
      </c>
      <c r="J24">
        <v>26080</v>
      </c>
    </row>
    <row r="25" spans="1:10" x14ac:dyDescent="0.3">
      <c r="A25" t="s">
        <v>33</v>
      </c>
      <c r="B25" s="25">
        <v>45444</v>
      </c>
      <c r="C25" t="s">
        <v>313</v>
      </c>
      <c r="D25" t="s">
        <v>319</v>
      </c>
      <c r="E25" t="s">
        <v>330</v>
      </c>
      <c r="F25" t="s">
        <v>332</v>
      </c>
      <c r="G25" t="s">
        <v>340</v>
      </c>
      <c r="H25" t="s">
        <v>350</v>
      </c>
      <c r="I25">
        <v>7</v>
      </c>
      <c r="J25">
        <v>3309</v>
      </c>
    </row>
    <row r="26" spans="1:10" x14ac:dyDescent="0.3">
      <c r="A26" t="s">
        <v>34</v>
      </c>
      <c r="B26" t="s">
        <v>437</v>
      </c>
      <c r="C26" t="s">
        <v>438</v>
      </c>
      <c r="D26" t="s">
        <v>323</v>
      </c>
      <c r="F26" t="s">
        <v>331</v>
      </c>
      <c r="G26" t="s">
        <v>334</v>
      </c>
      <c r="H26" t="s">
        <v>353</v>
      </c>
      <c r="I26">
        <v>19</v>
      </c>
      <c r="J26">
        <v>16738</v>
      </c>
    </row>
    <row r="27" spans="1:10" x14ac:dyDescent="0.3">
      <c r="A27" t="s">
        <v>35</v>
      </c>
      <c r="B27" s="25">
        <v>45583</v>
      </c>
      <c r="C27" t="s">
        <v>310</v>
      </c>
      <c r="D27" t="s">
        <v>322</v>
      </c>
      <c r="E27" t="s">
        <v>326</v>
      </c>
      <c r="F27" t="s">
        <v>332</v>
      </c>
      <c r="G27" t="s">
        <v>335</v>
      </c>
      <c r="H27" t="s">
        <v>344</v>
      </c>
      <c r="I27">
        <v>6</v>
      </c>
      <c r="J27">
        <v>46338</v>
      </c>
    </row>
    <row r="28" spans="1:10" x14ac:dyDescent="0.3">
      <c r="A28" t="s">
        <v>36</v>
      </c>
      <c r="B28" t="s">
        <v>439</v>
      </c>
      <c r="C28" t="s">
        <v>363</v>
      </c>
      <c r="D28" t="s">
        <v>317</v>
      </c>
      <c r="E28" t="s">
        <v>328</v>
      </c>
      <c r="F28" t="s">
        <v>331</v>
      </c>
      <c r="G28" t="s">
        <v>334</v>
      </c>
      <c r="H28" t="s">
        <v>343</v>
      </c>
      <c r="I28">
        <v>14</v>
      </c>
      <c r="J28">
        <v>38958</v>
      </c>
    </row>
    <row r="29" spans="1:10" x14ac:dyDescent="0.3">
      <c r="A29" t="s">
        <v>37</v>
      </c>
      <c r="B29" t="s">
        <v>440</v>
      </c>
      <c r="C29" t="s">
        <v>421</v>
      </c>
      <c r="D29" t="s">
        <v>320</v>
      </c>
      <c r="E29" t="s">
        <v>328</v>
      </c>
      <c r="F29" t="s">
        <v>331</v>
      </c>
      <c r="G29" t="s">
        <v>341</v>
      </c>
      <c r="H29" t="s">
        <v>351</v>
      </c>
      <c r="I29">
        <v>16</v>
      </c>
      <c r="J29">
        <v>1327</v>
      </c>
    </row>
    <row r="30" spans="1:10" x14ac:dyDescent="0.3">
      <c r="A30" t="s">
        <v>38</v>
      </c>
      <c r="B30" t="s">
        <v>441</v>
      </c>
      <c r="D30" t="s">
        <v>319</v>
      </c>
      <c r="E30" t="s">
        <v>330</v>
      </c>
      <c r="F30" t="s">
        <v>333</v>
      </c>
      <c r="G30" t="s">
        <v>338</v>
      </c>
      <c r="H30" t="s">
        <v>354</v>
      </c>
      <c r="I30">
        <v>11</v>
      </c>
      <c r="J30">
        <v>37119</v>
      </c>
    </row>
    <row r="31" spans="1:10" x14ac:dyDescent="0.3">
      <c r="A31" t="s">
        <v>39</v>
      </c>
      <c r="B31" s="25">
        <v>45637</v>
      </c>
      <c r="C31" t="s">
        <v>310</v>
      </c>
      <c r="D31" t="s">
        <v>320</v>
      </c>
      <c r="E31" t="s">
        <v>327</v>
      </c>
      <c r="F31" t="s">
        <v>333</v>
      </c>
      <c r="G31" t="s">
        <v>342</v>
      </c>
      <c r="H31" t="s">
        <v>355</v>
      </c>
      <c r="I31">
        <v>13</v>
      </c>
      <c r="J31">
        <v>36089</v>
      </c>
    </row>
    <row r="32" spans="1:10" x14ac:dyDescent="0.3">
      <c r="A32" t="s">
        <v>40</v>
      </c>
      <c r="B32" t="s">
        <v>442</v>
      </c>
      <c r="C32" t="s">
        <v>313</v>
      </c>
      <c r="D32" t="s">
        <v>319</v>
      </c>
      <c r="E32" t="s">
        <v>327</v>
      </c>
      <c r="F32" t="s">
        <v>332</v>
      </c>
      <c r="G32" t="s">
        <v>340</v>
      </c>
      <c r="H32" t="s">
        <v>350</v>
      </c>
      <c r="I32">
        <v>3</v>
      </c>
      <c r="J32">
        <v>8917</v>
      </c>
    </row>
    <row r="33" spans="1:10" x14ac:dyDescent="0.3">
      <c r="A33" t="s">
        <v>41</v>
      </c>
      <c r="B33" t="s">
        <v>443</v>
      </c>
      <c r="C33" t="s">
        <v>310</v>
      </c>
      <c r="D33" t="s">
        <v>363</v>
      </c>
      <c r="E33" t="s">
        <v>328</v>
      </c>
      <c r="F33" t="s">
        <v>332</v>
      </c>
      <c r="G33" t="s">
        <v>335</v>
      </c>
      <c r="H33" t="s">
        <v>345</v>
      </c>
      <c r="I33">
        <v>17</v>
      </c>
      <c r="J33">
        <v>16930</v>
      </c>
    </row>
    <row r="34" spans="1:10" x14ac:dyDescent="0.3">
      <c r="A34" t="s">
        <v>42</v>
      </c>
      <c r="B34" s="25">
        <v>45412</v>
      </c>
      <c r="C34" t="s">
        <v>313</v>
      </c>
      <c r="D34" t="s">
        <v>324</v>
      </c>
      <c r="E34" t="s">
        <v>328</v>
      </c>
      <c r="F34" t="s">
        <v>333</v>
      </c>
      <c r="G34" t="s">
        <v>342</v>
      </c>
      <c r="H34" t="s">
        <v>355</v>
      </c>
      <c r="I34">
        <v>16</v>
      </c>
      <c r="J34">
        <v>9070</v>
      </c>
    </row>
    <row r="35" spans="1:10" x14ac:dyDescent="0.3">
      <c r="A35" t="s">
        <v>43</v>
      </c>
      <c r="B35" t="s">
        <v>444</v>
      </c>
      <c r="C35" t="s">
        <v>312</v>
      </c>
      <c r="D35" t="s">
        <v>317</v>
      </c>
      <c r="E35" t="s">
        <v>445</v>
      </c>
      <c r="F35" t="s">
        <v>331</v>
      </c>
      <c r="G35" t="s">
        <v>334</v>
      </c>
      <c r="H35" t="s">
        <v>343</v>
      </c>
      <c r="I35">
        <v>5</v>
      </c>
      <c r="J35">
        <v>22541</v>
      </c>
    </row>
    <row r="36" spans="1:10" x14ac:dyDescent="0.3">
      <c r="A36" t="s">
        <v>44</v>
      </c>
      <c r="B36" s="25">
        <v>45584</v>
      </c>
      <c r="C36" t="s">
        <v>312</v>
      </c>
      <c r="D36" t="s">
        <v>325</v>
      </c>
      <c r="E36" t="s">
        <v>328</v>
      </c>
      <c r="F36" t="s">
        <v>332</v>
      </c>
      <c r="G36" t="s">
        <v>340</v>
      </c>
      <c r="H36" t="s">
        <v>350</v>
      </c>
      <c r="I36">
        <v>8</v>
      </c>
      <c r="J36">
        <v>37291</v>
      </c>
    </row>
    <row r="37" spans="1:10" x14ac:dyDescent="0.3">
      <c r="A37" t="s">
        <v>45</v>
      </c>
      <c r="B37" t="s">
        <v>446</v>
      </c>
      <c r="C37" t="s">
        <v>312</v>
      </c>
      <c r="D37" t="s">
        <v>317</v>
      </c>
      <c r="E37" t="s">
        <v>329</v>
      </c>
      <c r="F37" t="s">
        <v>333</v>
      </c>
      <c r="G37" t="s">
        <v>338</v>
      </c>
      <c r="H37" t="s">
        <v>354</v>
      </c>
      <c r="I37">
        <v>4</v>
      </c>
      <c r="J37">
        <v>3198</v>
      </c>
    </row>
    <row r="38" spans="1:10" x14ac:dyDescent="0.3">
      <c r="A38" t="s">
        <v>46</v>
      </c>
      <c r="B38" t="s">
        <v>447</v>
      </c>
      <c r="C38" t="s">
        <v>313</v>
      </c>
      <c r="D38" t="s">
        <v>323</v>
      </c>
      <c r="E38" t="s">
        <v>326</v>
      </c>
      <c r="F38" t="s">
        <v>332</v>
      </c>
      <c r="G38" t="s">
        <v>336</v>
      </c>
      <c r="H38" t="s">
        <v>346</v>
      </c>
      <c r="I38">
        <v>4</v>
      </c>
      <c r="J38">
        <v>2822</v>
      </c>
    </row>
    <row r="39" spans="1:10" x14ac:dyDescent="0.3">
      <c r="A39" t="s">
        <v>47</v>
      </c>
      <c r="B39" t="s">
        <v>448</v>
      </c>
      <c r="C39" t="s">
        <v>310</v>
      </c>
      <c r="D39" t="s">
        <v>322</v>
      </c>
      <c r="E39" t="s">
        <v>326</v>
      </c>
      <c r="F39" t="s">
        <v>332</v>
      </c>
      <c r="G39" t="s">
        <v>340</v>
      </c>
      <c r="H39" t="s">
        <v>350</v>
      </c>
      <c r="I39">
        <v>6</v>
      </c>
      <c r="J39">
        <v>44822</v>
      </c>
    </row>
    <row r="40" spans="1:10" x14ac:dyDescent="0.3">
      <c r="A40" t="s">
        <v>48</v>
      </c>
      <c r="B40" t="s">
        <v>449</v>
      </c>
      <c r="C40" t="s">
        <v>310</v>
      </c>
      <c r="D40" t="s">
        <v>322</v>
      </c>
      <c r="E40" t="s">
        <v>328</v>
      </c>
      <c r="F40" t="s">
        <v>332</v>
      </c>
      <c r="G40" t="s">
        <v>335</v>
      </c>
      <c r="H40" t="s">
        <v>345</v>
      </c>
      <c r="I40">
        <v>10</v>
      </c>
      <c r="J40">
        <v>36258</v>
      </c>
    </row>
    <row r="41" spans="1:10" x14ac:dyDescent="0.3">
      <c r="A41" t="s">
        <v>49</v>
      </c>
      <c r="B41" t="s">
        <v>450</v>
      </c>
      <c r="C41" t="s">
        <v>313</v>
      </c>
      <c r="D41" t="s">
        <v>319</v>
      </c>
      <c r="E41" t="s">
        <v>329</v>
      </c>
      <c r="F41" t="s">
        <v>333</v>
      </c>
      <c r="G41" t="s">
        <v>338</v>
      </c>
      <c r="H41" t="s">
        <v>354</v>
      </c>
      <c r="I41">
        <v>2</v>
      </c>
      <c r="J41">
        <v>1986</v>
      </c>
    </row>
    <row r="42" spans="1:10" x14ac:dyDescent="0.3">
      <c r="A42" t="s">
        <v>50</v>
      </c>
      <c r="B42" t="s">
        <v>451</v>
      </c>
      <c r="C42" t="s">
        <v>312</v>
      </c>
      <c r="D42" t="s">
        <v>317</v>
      </c>
      <c r="E42" t="s">
        <v>326</v>
      </c>
      <c r="F42" t="s">
        <v>332</v>
      </c>
      <c r="G42" t="s">
        <v>336</v>
      </c>
      <c r="H42" t="s">
        <v>346</v>
      </c>
      <c r="I42" t="s">
        <v>452</v>
      </c>
      <c r="J42">
        <v>26319</v>
      </c>
    </row>
    <row r="43" spans="1:10" x14ac:dyDescent="0.3">
      <c r="A43" t="s">
        <v>51</v>
      </c>
      <c r="B43" s="25">
        <v>45349</v>
      </c>
      <c r="C43" t="s">
        <v>312</v>
      </c>
      <c r="D43" t="s">
        <v>321</v>
      </c>
      <c r="E43" t="s">
        <v>329</v>
      </c>
      <c r="F43" t="s">
        <v>333</v>
      </c>
      <c r="G43" t="s">
        <v>337</v>
      </c>
      <c r="H43" t="s">
        <v>347</v>
      </c>
      <c r="I43">
        <v>7</v>
      </c>
      <c r="J43">
        <v>40688</v>
      </c>
    </row>
    <row r="44" spans="1:10" x14ac:dyDescent="0.3">
      <c r="A44" t="s">
        <v>52</v>
      </c>
      <c r="B44" s="25">
        <v>45569</v>
      </c>
      <c r="C44" t="s">
        <v>311</v>
      </c>
      <c r="D44" t="s">
        <v>318</v>
      </c>
      <c r="E44" t="s">
        <v>330</v>
      </c>
      <c r="F44" t="s">
        <v>333</v>
      </c>
      <c r="G44" t="s">
        <v>338</v>
      </c>
      <c r="H44" t="s">
        <v>354</v>
      </c>
      <c r="I44">
        <v>10</v>
      </c>
      <c r="J44">
        <v>13255</v>
      </c>
    </row>
    <row r="45" spans="1:10" x14ac:dyDescent="0.3">
      <c r="A45" t="s">
        <v>53</v>
      </c>
      <c r="B45" s="25">
        <v>45521</v>
      </c>
      <c r="C45" t="s">
        <v>310</v>
      </c>
      <c r="D45" t="s">
        <v>320</v>
      </c>
      <c r="E45" t="s">
        <v>327</v>
      </c>
      <c r="F45" t="s">
        <v>331</v>
      </c>
      <c r="G45" t="s">
        <v>334</v>
      </c>
      <c r="H45" t="s">
        <v>343</v>
      </c>
      <c r="I45">
        <v>19</v>
      </c>
      <c r="J45">
        <v>42370</v>
      </c>
    </row>
    <row r="46" spans="1:10" x14ac:dyDescent="0.3">
      <c r="A46" t="s">
        <v>54</v>
      </c>
      <c r="B46" t="s">
        <v>453</v>
      </c>
      <c r="C46" t="s">
        <v>438</v>
      </c>
      <c r="D46" t="s">
        <v>454</v>
      </c>
      <c r="E46" t="s">
        <v>330</v>
      </c>
      <c r="F46" t="s">
        <v>333</v>
      </c>
      <c r="G46" t="s">
        <v>338</v>
      </c>
      <c r="H46" t="s">
        <v>354</v>
      </c>
      <c r="I46">
        <v>11</v>
      </c>
      <c r="J46">
        <v>38145</v>
      </c>
    </row>
    <row r="47" spans="1:10" x14ac:dyDescent="0.3">
      <c r="A47" t="s">
        <v>55</v>
      </c>
      <c r="B47" t="s">
        <v>455</v>
      </c>
      <c r="C47" t="s">
        <v>313</v>
      </c>
      <c r="D47" t="s">
        <v>323</v>
      </c>
      <c r="E47" t="s">
        <v>330</v>
      </c>
      <c r="F47" t="s">
        <v>333</v>
      </c>
      <c r="G47" t="s">
        <v>342</v>
      </c>
      <c r="H47" t="s">
        <v>352</v>
      </c>
      <c r="I47">
        <v>1</v>
      </c>
      <c r="J47">
        <v>16175</v>
      </c>
    </row>
    <row r="48" spans="1:10" x14ac:dyDescent="0.3">
      <c r="A48" t="s">
        <v>56</v>
      </c>
      <c r="B48" t="s">
        <v>456</v>
      </c>
      <c r="C48" t="s">
        <v>311</v>
      </c>
      <c r="D48" t="s">
        <v>315</v>
      </c>
      <c r="E48" t="s">
        <v>327</v>
      </c>
      <c r="F48" t="s">
        <v>333</v>
      </c>
      <c r="G48" t="s">
        <v>337</v>
      </c>
      <c r="H48" t="s">
        <v>347</v>
      </c>
      <c r="I48">
        <v>1</v>
      </c>
      <c r="J48">
        <v>19259</v>
      </c>
    </row>
    <row r="49" spans="1:10" x14ac:dyDescent="0.3">
      <c r="A49" t="s">
        <v>57</v>
      </c>
      <c r="C49" t="s">
        <v>313</v>
      </c>
      <c r="D49" t="s">
        <v>324</v>
      </c>
      <c r="E49" t="s">
        <v>329</v>
      </c>
      <c r="F49" t="s">
        <v>333</v>
      </c>
      <c r="G49" t="s">
        <v>342</v>
      </c>
      <c r="H49" t="s">
        <v>352</v>
      </c>
      <c r="I49">
        <v>3</v>
      </c>
      <c r="J49">
        <v>33575</v>
      </c>
    </row>
    <row r="50" spans="1:10" x14ac:dyDescent="0.3">
      <c r="A50" t="s">
        <v>58</v>
      </c>
      <c r="B50" t="s">
        <v>457</v>
      </c>
      <c r="C50" t="s">
        <v>310</v>
      </c>
      <c r="D50" t="s">
        <v>322</v>
      </c>
      <c r="E50" t="s">
        <v>327</v>
      </c>
      <c r="F50" t="s">
        <v>331</v>
      </c>
      <c r="G50" t="s">
        <v>339</v>
      </c>
      <c r="H50" t="s">
        <v>356</v>
      </c>
      <c r="I50">
        <v>17</v>
      </c>
      <c r="J50">
        <v>39645</v>
      </c>
    </row>
    <row r="51" spans="1:10" x14ac:dyDescent="0.3">
      <c r="A51" t="s">
        <v>59</v>
      </c>
      <c r="B51" t="s">
        <v>458</v>
      </c>
      <c r="C51" t="s">
        <v>313</v>
      </c>
      <c r="D51" t="s">
        <v>323</v>
      </c>
      <c r="E51" t="s">
        <v>329</v>
      </c>
      <c r="F51" t="s">
        <v>331</v>
      </c>
      <c r="G51" t="s">
        <v>339</v>
      </c>
      <c r="H51" t="s">
        <v>349</v>
      </c>
      <c r="I51">
        <v>20</v>
      </c>
      <c r="J51">
        <v>44253</v>
      </c>
    </row>
    <row r="52" spans="1:10" x14ac:dyDescent="0.3">
      <c r="A52" t="s">
        <v>60</v>
      </c>
      <c r="C52" t="s">
        <v>310</v>
      </c>
      <c r="D52" t="s">
        <v>322</v>
      </c>
      <c r="E52" t="s">
        <v>330</v>
      </c>
      <c r="F52" t="s">
        <v>333</v>
      </c>
      <c r="G52" t="s">
        <v>338</v>
      </c>
      <c r="H52" t="s">
        <v>354</v>
      </c>
      <c r="I52">
        <v>9</v>
      </c>
      <c r="J52">
        <v>4421</v>
      </c>
    </row>
    <row r="53" spans="1:10" x14ac:dyDescent="0.3">
      <c r="A53" t="s">
        <v>61</v>
      </c>
      <c r="B53" t="s">
        <v>459</v>
      </c>
      <c r="C53" t="s">
        <v>311</v>
      </c>
      <c r="D53" t="s">
        <v>316</v>
      </c>
      <c r="E53" t="s">
        <v>326</v>
      </c>
      <c r="F53" t="s">
        <v>332</v>
      </c>
      <c r="G53" t="s">
        <v>340</v>
      </c>
      <c r="H53" t="s">
        <v>350</v>
      </c>
      <c r="I53">
        <v>1</v>
      </c>
      <c r="J53">
        <v>26133</v>
      </c>
    </row>
    <row r="54" spans="1:10" x14ac:dyDescent="0.3">
      <c r="A54" t="s">
        <v>62</v>
      </c>
      <c r="B54" t="s">
        <v>460</v>
      </c>
      <c r="C54" t="s">
        <v>313</v>
      </c>
      <c r="D54" t="s">
        <v>323</v>
      </c>
      <c r="E54" t="s">
        <v>326</v>
      </c>
      <c r="F54" t="s">
        <v>333</v>
      </c>
      <c r="G54" t="s">
        <v>338</v>
      </c>
      <c r="H54" t="s">
        <v>354</v>
      </c>
      <c r="I54">
        <v>19</v>
      </c>
      <c r="J54">
        <v>1439</v>
      </c>
    </row>
    <row r="55" spans="1:10" x14ac:dyDescent="0.3">
      <c r="A55" t="s">
        <v>63</v>
      </c>
      <c r="B55" s="25">
        <v>45595</v>
      </c>
      <c r="C55" t="s">
        <v>312</v>
      </c>
      <c r="D55" t="s">
        <v>325</v>
      </c>
      <c r="E55" t="s">
        <v>330</v>
      </c>
      <c r="F55" t="s">
        <v>333</v>
      </c>
      <c r="G55" t="s">
        <v>337</v>
      </c>
      <c r="H55" t="s">
        <v>347</v>
      </c>
      <c r="I55">
        <v>5</v>
      </c>
      <c r="J55">
        <v>17181</v>
      </c>
    </row>
    <row r="56" spans="1:10" x14ac:dyDescent="0.3">
      <c r="A56" t="s">
        <v>64</v>
      </c>
      <c r="B56" t="s">
        <v>461</v>
      </c>
      <c r="C56" t="s">
        <v>313</v>
      </c>
      <c r="D56" t="s">
        <v>324</v>
      </c>
      <c r="E56" t="s">
        <v>462</v>
      </c>
      <c r="F56" t="s">
        <v>332</v>
      </c>
      <c r="G56" t="s">
        <v>340</v>
      </c>
      <c r="H56" t="s">
        <v>350</v>
      </c>
      <c r="I56">
        <v>8</v>
      </c>
      <c r="J56">
        <v>32050</v>
      </c>
    </row>
    <row r="57" spans="1:10" x14ac:dyDescent="0.3">
      <c r="A57" t="s">
        <v>65</v>
      </c>
      <c r="B57" t="s">
        <v>463</v>
      </c>
      <c r="C57" t="s">
        <v>312</v>
      </c>
      <c r="D57" t="s">
        <v>321</v>
      </c>
      <c r="E57" t="s">
        <v>330</v>
      </c>
      <c r="F57" t="s">
        <v>332</v>
      </c>
      <c r="G57" t="s">
        <v>340</v>
      </c>
      <c r="H57" t="s">
        <v>350</v>
      </c>
      <c r="I57">
        <v>8</v>
      </c>
      <c r="J57">
        <v>20711</v>
      </c>
    </row>
    <row r="58" spans="1:10" x14ac:dyDescent="0.3">
      <c r="A58" t="s">
        <v>66</v>
      </c>
      <c r="B58" t="s">
        <v>464</v>
      </c>
      <c r="C58" t="s">
        <v>311</v>
      </c>
      <c r="D58" t="s">
        <v>318</v>
      </c>
      <c r="E58" t="s">
        <v>328</v>
      </c>
      <c r="F58" t="s">
        <v>333</v>
      </c>
      <c r="G58" t="s">
        <v>342</v>
      </c>
      <c r="H58" t="s">
        <v>355</v>
      </c>
      <c r="I58">
        <v>20</v>
      </c>
      <c r="J58">
        <v>47924</v>
      </c>
    </row>
    <row r="59" spans="1:10" x14ac:dyDescent="0.3">
      <c r="A59" t="s">
        <v>67</v>
      </c>
      <c r="B59" t="s">
        <v>465</v>
      </c>
      <c r="C59" t="s">
        <v>313</v>
      </c>
      <c r="D59" t="s">
        <v>319</v>
      </c>
      <c r="E59" t="s">
        <v>329</v>
      </c>
      <c r="F59" t="s">
        <v>331</v>
      </c>
      <c r="G59" t="s">
        <v>339</v>
      </c>
      <c r="H59" t="s">
        <v>357</v>
      </c>
      <c r="I59">
        <v>6</v>
      </c>
      <c r="J59">
        <v>33730</v>
      </c>
    </row>
    <row r="60" spans="1:10" x14ac:dyDescent="0.3">
      <c r="A60" t="s">
        <v>68</v>
      </c>
      <c r="B60" t="s">
        <v>466</v>
      </c>
      <c r="C60" t="s">
        <v>310</v>
      </c>
      <c r="D60" t="s">
        <v>320</v>
      </c>
      <c r="E60" t="s">
        <v>329</v>
      </c>
      <c r="F60" t="s">
        <v>333</v>
      </c>
      <c r="G60" t="s">
        <v>337</v>
      </c>
      <c r="H60" t="s">
        <v>347</v>
      </c>
      <c r="I60">
        <v>6</v>
      </c>
      <c r="J60">
        <v>46159</v>
      </c>
    </row>
    <row r="61" spans="1:10" x14ac:dyDescent="0.3">
      <c r="A61" t="s">
        <v>69</v>
      </c>
      <c r="B61" s="25">
        <v>45555</v>
      </c>
      <c r="C61" t="s">
        <v>311</v>
      </c>
      <c r="D61" t="s">
        <v>318</v>
      </c>
      <c r="E61" t="s">
        <v>328</v>
      </c>
      <c r="F61" t="s">
        <v>331</v>
      </c>
      <c r="G61" t="s">
        <v>339</v>
      </c>
      <c r="H61" t="s">
        <v>349</v>
      </c>
      <c r="I61">
        <v>13</v>
      </c>
      <c r="J61">
        <v>11752</v>
      </c>
    </row>
    <row r="62" spans="1:10" x14ac:dyDescent="0.3">
      <c r="A62" t="s">
        <v>70</v>
      </c>
      <c r="B62" t="s">
        <v>467</v>
      </c>
      <c r="C62" t="s">
        <v>310</v>
      </c>
      <c r="D62" t="s">
        <v>320</v>
      </c>
      <c r="E62" t="s">
        <v>326</v>
      </c>
      <c r="F62" t="s">
        <v>333</v>
      </c>
      <c r="G62" t="s">
        <v>342</v>
      </c>
      <c r="H62" t="s">
        <v>352</v>
      </c>
      <c r="I62">
        <v>12</v>
      </c>
      <c r="J62">
        <v>25364</v>
      </c>
    </row>
    <row r="63" spans="1:10" x14ac:dyDescent="0.3">
      <c r="A63" t="s">
        <v>71</v>
      </c>
      <c r="B63" s="25">
        <v>45422</v>
      </c>
      <c r="C63" t="s">
        <v>310</v>
      </c>
      <c r="D63" t="s">
        <v>314</v>
      </c>
      <c r="E63" t="s">
        <v>462</v>
      </c>
      <c r="F63" t="s">
        <v>332</v>
      </c>
      <c r="G63" t="s">
        <v>335</v>
      </c>
      <c r="H63" t="s">
        <v>344</v>
      </c>
      <c r="I63">
        <v>9</v>
      </c>
      <c r="J63">
        <v>48493</v>
      </c>
    </row>
    <row r="64" spans="1:10" x14ac:dyDescent="0.3">
      <c r="A64" t="s">
        <v>72</v>
      </c>
      <c r="B64" s="25">
        <v>45519</v>
      </c>
      <c r="C64" t="s">
        <v>312</v>
      </c>
      <c r="D64" t="s">
        <v>321</v>
      </c>
      <c r="E64" t="s">
        <v>330</v>
      </c>
      <c r="F64" t="s">
        <v>332</v>
      </c>
      <c r="G64" t="s">
        <v>336</v>
      </c>
      <c r="H64" t="s">
        <v>346</v>
      </c>
      <c r="I64">
        <v>13</v>
      </c>
      <c r="J64">
        <v>28571</v>
      </c>
    </row>
    <row r="65" spans="1:10" x14ac:dyDescent="0.3">
      <c r="A65" t="s">
        <v>73</v>
      </c>
      <c r="B65" t="s">
        <v>468</v>
      </c>
      <c r="C65" t="s">
        <v>311</v>
      </c>
      <c r="D65" t="s">
        <v>315</v>
      </c>
      <c r="E65" t="s">
        <v>326</v>
      </c>
      <c r="F65" t="s">
        <v>333</v>
      </c>
      <c r="G65" t="s">
        <v>338</v>
      </c>
      <c r="H65" t="s">
        <v>354</v>
      </c>
      <c r="I65">
        <v>7</v>
      </c>
      <c r="J65">
        <v>8011</v>
      </c>
    </row>
    <row r="66" spans="1:10" x14ac:dyDescent="0.3">
      <c r="A66" t="s">
        <v>74</v>
      </c>
      <c r="B66" t="s">
        <v>469</v>
      </c>
      <c r="C66" t="s">
        <v>311</v>
      </c>
      <c r="D66" t="s">
        <v>318</v>
      </c>
      <c r="E66" t="s">
        <v>470</v>
      </c>
      <c r="F66" t="s">
        <v>332</v>
      </c>
      <c r="G66" t="s">
        <v>340</v>
      </c>
      <c r="H66" t="s">
        <v>350</v>
      </c>
      <c r="I66">
        <v>9</v>
      </c>
      <c r="J66">
        <v>16467</v>
      </c>
    </row>
    <row r="67" spans="1:10" x14ac:dyDescent="0.3">
      <c r="A67" t="s">
        <v>75</v>
      </c>
      <c r="B67" s="25">
        <v>45562</v>
      </c>
      <c r="C67" t="s">
        <v>311</v>
      </c>
      <c r="D67" t="s">
        <v>318</v>
      </c>
      <c r="E67" t="s">
        <v>326</v>
      </c>
      <c r="F67" t="s">
        <v>332</v>
      </c>
      <c r="G67" t="s">
        <v>335</v>
      </c>
      <c r="H67" t="s">
        <v>344</v>
      </c>
      <c r="I67">
        <v>19</v>
      </c>
      <c r="J67">
        <v>1578</v>
      </c>
    </row>
    <row r="68" spans="1:10" x14ac:dyDescent="0.3">
      <c r="A68" t="s">
        <v>76</v>
      </c>
      <c r="B68" s="25">
        <v>45397</v>
      </c>
      <c r="C68" t="s">
        <v>312</v>
      </c>
      <c r="D68" t="s">
        <v>325</v>
      </c>
      <c r="E68" t="s">
        <v>330</v>
      </c>
      <c r="F68" t="s">
        <v>332</v>
      </c>
      <c r="G68" t="s">
        <v>335</v>
      </c>
      <c r="H68" t="s">
        <v>345</v>
      </c>
      <c r="I68">
        <v>10</v>
      </c>
      <c r="J68">
        <v>9926</v>
      </c>
    </row>
    <row r="69" spans="1:10" x14ac:dyDescent="0.3">
      <c r="A69" t="s">
        <v>77</v>
      </c>
      <c r="B69" t="s">
        <v>471</v>
      </c>
      <c r="C69" t="s">
        <v>310</v>
      </c>
      <c r="D69" t="s">
        <v>320</v>
      </c>
      <c r="E69" t="s">
        <v>326</v>
      </c>
      <c r="F69" t="s">
        <v>333</v>
      </c>
      <c r="G69" t="s">
        <v>337</v>
      </c>
      <c r="H69" t="s">
        <v>347</v>
      </c>
      <c r="I69">
        <v>6</v>
      </c>
      <c r="J69">
        <v>35941</v>
      </c>
    </row>
    <row r="70" spans="1:10" x14ac:dyDescent="0.3">
      <c r="A70" t="s">
        <v>78</v>
      </c>
      <c r="B70" t="s">
        <v>472</v>
      </c>
      <c r="C70" t="s">
        <v>313</v>
      </c>
      <c r="D70" t="s">
        <v>324</v>
      </c>
      <c r="E70" t="s">
        <v>326</v>
      </c>
      <c r="F70" t="s">
        <v>333</v>
      </c>
      <c r="G70" t="s">
        <v>342</v>
      </c>
      <c r="H70" t="s">
        <v>352</v>
      </c>
      <c r="I70">
        <v>7</v>
      </c>
      <c r="J70">
        <v>18815</v>
      </c>
    </row>
    <row r="71" spans="1:10" x14ac:dyDescent="0.3">
      <c r="A71" t="s">
        <v>79</v>
      </c>
      <c r="B71" t="s">
        <v>473</v>
      </c>
      <c r="C71" t="s">
        <v>312</v>
      </c>
      <c r="D71" t="s">
        <v>321</v>
      </c>
      <c r="E71" t="s">
        <v>329</v>
      </c>
      <c r="F71" t="s">
        <v>331</v>
      </c>
      <c r="G71" t="s">
        <v>341</v>
      </c>
      <c r="H71" t="s">
        <v>358</v>
      </c>
      <c r="I71">
        <v>5</v>
      </c>
      <c r="J71">
        <v>5127</v>
      </c>
    </row>
    <row r="72" spans="1:10" x14ac:dyDescent="0.3">
      <c r="A72" t="s">
        <v>80</v>
      </c>
      <c r="B72" s="25">
        <v>45562</v>
      </c>
      <c r="C72" t="s">
        <v>313</v>
      </c>
      <c r="D72" t="s">
        <v>319</v>
      </c>
      <c r="E72" t="s">
        <v>329</v>
      </c>
      <c r="F72" t="s">
        <v>333</v>
      </c>
      <c r="G72" t="s">
        <v>338</v>
      </c>
      <c r="H72" t="s">
        <v>348</v>
      </c>
      <c r="I72">
        <v>1</v>
      </c>
      <c r="J72">
        <v>8319</v>
      </c>
    </row>
    <row r="73" spans="1:10" x14ac:dyDescent="0.3">
      <c r="A73" t="s">
        <v>81</v>
      </c>
      <c r="B73" s="25">
        <v>45568</v>
      </c>
      <c r="C73" t="s">
        <v>474</v>
      </c>
      <c r="D73" t="s">
        <v>318</v>
      </c>
      <c r="E73" t="s">
        <v>326</v>
      </c>
      <c r="F73" t="s">
        <v>333</v>
      </c>
      <c r="G73" t="s">
        <v>338</v>
      </c>
      <c r="H73" t="s">
        <v>348</v>
      </c>
      <c r="I73">
        <v>11</v>
      </c>
      <c r="J73">
        <v>48115</v>
      </c>
    </row>
    <row r="74" spans="1:10" x14ac:dyDescent="0.3">
      <c r="A74" t="s">
        <v>82</v>
      </c>
      <c r="B74" s="25">
        <v>45396</v>
      </c>
      <c r="D74" t="s">
        <v>315</v>
      </c>
      <c r="E74" t="s">
        <v>328</v>
      </c>
      <c r="F74" t="s">
        <v>332</v>
      </c>
      <c r="G74" t="s">
        <v>340</v>
      </c>
      <c r="H74" t="s">
        <v>350</v>
      </c>
      <c r="I74">
        <v>1</v>
      </c>
      <c r="J74">
        <v>18394</v>
      </c>
    </row>
    <row r="75" spans="1:10" x14ac:dyDescent="0.3">
      <c r="A75" t="s">
        <v>83</v>
      </c>
      <c r="B75" s="25">
        <v>45656</v>
      </c>
      <c r="C75" t="s">
        <v>310</v>
      </c>
      <c r="D75" t="s">
        <v>320</v>
      </c>
      <c r="E75" t="s">
        <v>329</v>
      </c>
      <c r="F75" t="s">
        <v>332</v>
      </c>
      <c r="G75" t="s">
        <v>336</v>
      </c>
      <c r="H75" t="s">
        <v>346</v>
      </c>
      <c r="I75">
        <v>6</v>
      </c>
      <c r="J75">
        <v>29651</v>
      </c>
    </row>
    <row r="76" spans="1:10" x14ac:dyDescent="0.3">
      <c r="A76" t="s">
        <v>84</v>
      </c>
      <c r="B76" t="s">
        <v>475</v>
      </c>
      <c r="C76" t="s">
        <v>310</v>
      </c>
      <c r="D76" t="s">
        <v>320</v>
      </c>
      <c r="E76" t="s">
        <v>326</v>
      </c>
      <c r="F76" t="s">
        <v>332</v>
      </c>
      <c r="G76" t="s">
        <v>335</v>
      </c>
      <c r="H76" t="s">
        <v>345</v>
      </c>
      <c r="I76">
        <v>13</v>
      </c>
      <c r="J76">
        <v>22220</v>
      </c>
    </row>
    <row r="77" spans="1:10" x14ac:dyDescent="0.3">
      <c r="A77" t="s">
        <v>85</v>
      </c>
      <c r="B77" t="s">
        <v>476</v>
      </c>
      <c r="C77" t="s">
        <v>312</v>
      </c>
      <c r="D77" t="s">
        <v>317</v>
      </c>
      <c r="E77" t="s">
        <v>327</v>
      </c>
      <c r="F77" t="s">
        <v>332</v>
      </c>
      <c r="G77" t="s">
        <v>335</v>
      </c>
      <c r="H77" t="s">
        <v>345</v>
      </c>
      <c r="I77" t="s">
        <v>477</v>
      </c>
      <c r="J77">
        <v>47470</v>
      </c>
    </row>
    <row r="78" spans="1:10" x14ac:dyDescent="0.3">
      <c r="A78" t="s">
        <v>86</v>
      </c>
      <c r="B78" t="s">
        <v>478</v>
      </c>
      <c r="C78" t="s">
        <v>310</v>
      </c>
      <c r="D78" t="s">
        <v>314</v>
      </c>
      <c r="E78" t="s">
        <v>328</v>
      </c>
      <c r="F78" t="s">
        <v>333</v>
      </c>
      <c r="G78" t="s">
        <v>338</v>
      </c>
      <c r="H78" t="s">
        <v>354</v>
      </c>
      <c r="I78">
        <v>1</v>
      </c>
      <c r="J78">
        <v>23101</v>
      </c>
    </row>
    <row r="79" spans="1:10" x14ac:dyDescent="0.3">
      <c r="A79" t="s">
        <v>87</v>
      </c>
      <c r="B79" t="s">
        <v>479</v>
      </c>
      <c r="C79" t="s">
        <v>313</v>
      </c>
      <c r="D79" t="s">
        <v>319</v>
      </c>
      <c r="E79" t="s">
        <v>326</v>
      </c>
      <c r="F79" t="s">
        <v>333</v>
      </c>
      <c r="G79" t="s">
        <v>337</v>
      </c>
      <c r="H79" t="s">
        <v>347</v>
      </c>
      <c r="I79">
        <v>9</v>
      </c>
      <c r="J79">
        <v>31955</v>
      </c>
    </row>
    <row r="80" spans="1:10" x14ac:dyDescent="0.3">
      <c r="A80" t="s">
        <v>88</v>
      </c>
      <c r="B80" t="s">
        <v>480</v>
      </c>
      <c r="C80" t="s">
        <v>310</v>
      </c>
      <c r="D80" t="s">
        <v>320</v>
      </c>
      <c r="E80" t="s">
        <v>327</v>
      </c>
      <c r="F80" t="s">
        <v>332</v>
      </c>
      <c r="G80" t="s">
        <v>335</v>
      </c>
      <c r="H80" t="s">
        <v>345</v>
      </c>
      <c r="I80">
        <v>19</v>
      </c>
      <c r="J80">
        <v>27895</v>
      </c>
    </row>
    <row r="81" spans="1:10" x14ac:dyDescent="0.3">
      <c r="A81" t="s">
        <v>89</v>
      </c>
      <c r="B81" s="25">
        <v>45302</v>
      </c>
      <c r="C81" t="s">
        <v>481</v>
      </c>
      <c r="D81" t="s">
        <v>317</v>
      </c>
      <c r="E81" t="s">
        <v>330</v>
      </c>
      <c r="F81" t="s">
        <v>331</v>
      </c>
      <c r="G81" t="s">
        <v>341</v>
      </c>
      <c r="H81" t="s">
        <v>351</v>
      </c>
      <c r="I81">
        <v>17</v>
      </c>
      <c r="J81">
        <v>46746</v>
      </c>
    </row>
    <row r="82" spans="1:10" x14ac:dyDescent="0.3">
      <c r="A82" t="s">
        <v>90</v>
      </c>
      <c r="B82" s="25">
        <v>45644</v>
      </c>
      <c r="C82" t="s">
        <v>310</v>
      </c>
      <c r="D82" t="s">
        <v>314</v>
      </c>
      <c r="E82" t="s">
        <v>329</v>
      </c>
      <c r="F82" t="s">
        <v>331</v>
      </c>
      <c r="G82" t="s">
        <v>334</v>
      </c>
      <c r="H82" t="s">
        <v>359</v>
      </c>
      <c r="I82">
        <v>20</v>
      </c>
      <c r="J82">
        <v>20149</v>
      </c>
    </row>
    <row r="83" spans="1:10" x14ac:dyDescent="0.3">
      <c r="A83" t="s">
        <v>91</v>
      </c>
      <c r="B83" s="25">
        <v>45429</v>
      </c>
      <c r="C83" t="s">
        <v>310</v>
      </c>
      <c r="D83" t="s">
        <v>314</v>
      </c>
      <c r="F83" t="s">
        <v>331</v>
      </c>
      <c r="G83" t="s">
        <v>339</v>
      </c>
      <c r="H83" t="s">
        <v>356</v>
      </c>
      <c r="I83">
        <v>3</v>
      </c>
      <c r="J83">
        <v>46022</v>
      </c>
    </row>
    <row r="84" spans="1:10" x14ac:dyDescent="0.3">
      <c r="A84" t="s">
        <v>92</v>
      </c>
      <c r="B84" t="s">
        <v>482</v>
      </c>
      <c r="C84" t="s">
        <v>313</v>
      </c>
      <c r="D84" t="s">
        <v>483</v>
      </c>
      <c r="E84" t="s">
        <v>329</v>
      </c>
      <c r="F84" t="s">
        <v>332</v>
      </c>
      <c r="G84" t="s">
        <v>336</v>
      </c>
      <c r="H84" t="s">
        <v>346</v>
      </c>
      <c r="I84">
        <v>18</v>
      </c>
      <c r="J84">
        <v>17879</v>
      </c>
    </row>
    <row r="85" spans="1:10" x14ac:dyDescent="0.3">
      <c r="A85" t="s">
        <v>93</v>
      </c>
      <c r="B85" t="s">
        <v>484</v>
      </c>
      <c r="C85" t="s">
        <v>313</v>
      </c>
      <c r="D85" t="s">
        <v>319</v>
      </c>
      <c r="E85" t="s">
        <v>326</v>
      </c>
      <c r="F85" t="s">
        <v>332</v>
      </c>
      <c r="G85" t="s">
        <v>335</v>
      </c>
      <c r="H85" t="s">
        <v>345</v>
      </c>
      <c r="I85">
        <v>6</v>
      </c>
      <c r="J85">
        <v>31894</v>
      </c>
    </row>
    <row r="86" spans="1:10" x14ac:dyDescent="0.3">
      <c r="A86" t="s">
        <v>94</v>
      </c>
      <c r="B86" t="s">
        <v>485</v>
      </c>
      <c r="C86" t="s">
        <v>313</v>
      </c>
      <c r="D86" t="s">
        <v>319</v>
      </c>
      <c r="E86" t="s">
        <v>328</v>
      </c>
      <c r="F86" t="s">
        <v>333</v>
      </c>
      <c r="G86" t="s">
        <v>337</v>
      </c>
      <c r="H86" t="s">
        <v>347</v>
      </c>
      <c r="I86">
        <v>8</v>
      </c>
      <c r="J86">
        <v>43508</v>
      </c>
    </row>
    <row r="87" spans="1:10" x14ac:dyDescent="0.3">
      <c r="A87" t="s">
        <v>95</v>
      </c>
      <c r="B87" t="s">
        <v>486</v>
      </c>
      <c r="C87" t="s">
        <v>363</v>
      </c>
      <c r="D87" t="s">
        <v>325</v>
      </c>
      <c r="E87" t="s">
        <v>329</v>
      </c>
      <c r="F87" t="s">
        <v>333</v>
      </c>
      <c r="G87" t="s">
        <v>338</v>
      </c>
      <c r="H87" t="s">
        <v>348</v>
      </c>
      <c r="I87">
        <v>7</v>
      </c>
      <c r="J87">
        <v>4953</v>
      </c>
    </row>
    <row r="88" spans="1:10" x14ac:dyDescent="0.3">
      <c r="A88" t="s">
        <v>96</v>
      </c>
      <c r="B88" t="s">
        <v>487</v>
      </c>
      <c r="C88" t="s">
        <v>310</v>
      </c>
      <c r="D88" t="s">
        <v>314</v>
      </c>
      <c r="E88" t="s">
        <v>329</v>
      </c>
      <c r="F88" t="s">
        <v>333</v>
      </c>
      <c r="G88" t="s">
        <v>337</v>
      </c>
      <c r="H88" t="s">
        <v>347</v>
      </c>
      <c r="I88">
        <v>15</v>
      </c>
      <c r="J88" t="s">
        <v>488</v>
      </c>
    </row>
    <row r="89" spans="1:10" x14ac:dyDescent="0.3">
      <c r="A89" t="s">
        <v>97</v>
      </c>
      <c r="B89" t="s">
        <v>489</v>
      </c>
      <c r="C89" t="s">
        <v>310</v>
      </c>
      <c r="D89" t="s">
        <v>322</v>
      </c>
      <c r="E89" t="s">
        <v>329</v>
      </c>
      <c r="F89" t="s">
        <v>331</v>
      </c>
      <c r="G89" t="s">
        <v>341</v>
      </c>
      <c r="H89" t="s">
        <v>351</v>
      </c>
      <c r="I89" t="s">
        <v>490</v>
      </c>
      <c r="J89">
        <v>15960</v>
      </c>
    </row>
    <row r="90" spans="1:10" x14ac:dyDescent="0.3">
      <c r="A90" t="s">
        <v>98</v>
      </c>
      <c r="B90" t="s">
        <v>491</v>
      </c>
      <c r="C90" t="s">
        <v>312</v>
      </c>
      <c r="D90" t="s">
        <v>325</v>
      </c>
      <c r="E90" t="s">
        <v>327</v>
      </c>
      <c r="F90" t="s">
        <v>331</v>
      </c>
      <c r="G90" t="s">
        <v>341</v>
      </c>
      <c r="H90" t="s">
        <v>351</v>
      </c>
      <c r="I90" t="s">
        <v>492</v>
      </c>
      <c r="J90">
        <v>26218</v>
      </c>
    </row>
    <row r="91" spans="1:10" x14ac:dyDescent="0.3">
      <c r="A91" t="s">
        <v>99</v>
      </c>
      <c r="B91" t="s">
        <v>493</v>
      </c>
      <c r="C91" t="s">
        <v>313</v>
      </c>
      <c r="D91" t="s">
        <v>324</v>
      </c>
      <c r="E91" t="s">
        <v>363</v>
      </c>
      <c r="F91" t="s">
        <v>331</v>
      </c>
      <c r="G91" t="s">
        <v>339</v>
      </c>
      <c r="H91" t="s">
        <v>357</v>
      </c>
      <c r="I91">
        <v>1</v>
      </c>
      <c r="J91">
        <v>49511</v>
      </c>
    </row>
    <row r="92" spans="1:10" x14ac:dyDescent="0.3">
      <c r="A92" t="s">
        <v>100</v>
      </c>
      <c r="B92" t="s">
        <v>494</v>
      </c>
      <c r="C92" t="s">
        <v>310</v>
      </c>
      <c r="D92" t="s">
        <v>314</v>
      </c>
      <c r="E92" t="s">
        <v>328</v>
      </c>
      <c r="F92" t="s">
        <v>331</v>
      </c>
      <c r="G92" t="s">
        <v>334</v>
      </c>
      <c r="H92" t="s">
        <v>359</v>
      </c>
      <c r="I92">
        <v>15</v>
      </c>
      <c r="J92">
        <v>22642</v>
      </c>
    </row>
    <row r="93" spans="1:10" x14ac:dyDescent="0.3">
      <c r="A93" t="s">
        <v>101</v>
      </c>
      <c r="B93" s="25">
        <v>45340</v>
      </c>
      <c r="C93" t="s">
        <v>313</v>
      </c>
      <c r="D93" t="s">
        <v>323</v>
      </c>
      <c r="E93" t="s">
        <v>330</v>
      </c>
      <c r="F93" t="s">
        <v>332</v>
      </c>
      <c r="G93" t="s">
        <v>336</v>
      </c>
      <c r="H93" t="s">
        <v>346</v>
      </c>
      <c r="I93">
        <v>13</v>
      </c>
      <c r="J93">
        <v>15484</v>
      </c>
    </row>
    <row r="94" spans="1:10" x14ac:dyDescent="0.3">
      <c r="A94" t="s">
        <v>102</v>
      </c>
      <c r="B94" s="25">
        <v>45412</v>
      </c>
      <c r="C94" t="s">
        <v>311</v>
      </c>
      <c r="D94" t="s">
        <v>316</v>
      </c>
      <c r="E94" t="s">
        <v>329</v>
      </c>
      <c r="F94" t="s">
        <v>333</v>
      </c>
      <c r="G94" t="s">
        <v>342</v>
      </c>
      <c r="H94" t="s">
        <v>352</v>
      </c>
      <c r="I94">
        <v>15</v>
      </c>
      <c r="J94">
        <v>36049</v>
      </c>
    </row>
    <row r="95" spans="1:10" x14ac:dyDescent="0.3">
      <c r="A95" t="s">
        <v>103</v>
      </c>
      <c r="B95" t="s">
        <v>495</v>
      </c>
      <c r="C95" t="s">
        <v>496</v>
      </c>
      <c r="D95" t="s">
        <v>315</v>
      </c>
      <c r="E95" t="s">
        <v>326</v>
      </c>
      <c r="F95" t="s">
        <v>333</v>
      </c>
      <c r="G95" t="s">
        <v>337</v>
      </c>
      <c r="H95" t="s">
        <v>347</v>
      </c>
      <c r="I95">
        <v>19</v>
      </c>
      <c r="J95">
        <v>7470</v>
      </c>
    </row>
    <row r="96" spans="1:10" x14ac:dyDescent="0.3">
      <c r="A96" t="s">
        <v>104</v>
      </c>
      <c r="B96" t="s">
        <v>497</v>
      </c>
      <c r="C96" t="s">
        <v>310</v>
      </c>
      <c r="D96" t="s">
        <v>322</v>
      </c>
      <c r="E96" t="s">
        <v>329</v>
      </c>
      <c r="F96" t="s">
        <v>331</v>
      </c>
      <c r="G96" t="s">
        <v>339</v>
      </c>
      <c r="H96" t="s">
        <v>357</v>
      </c>
      <c r="I96">
        <v>13</v>
      </c>
      <c r="J96">
        <v>38227</v>
      </c>
    </row>
    <row r="97" spans="1:10" x14ac:dyDescent="0.3">
      <c r="A97" t="s">
        <v>105</v>
      </c>
      <c r="B97" s="25">
        <v>45307</v>
      </c>
      <c r="C97" t="s">
        <v>313</v>
      </c>
      <c r="D97" t="s">
        <v>323</v>
      </c>
      <c r="E97" t="s">
        <v>327</v>
      </c>
      <c r="F97" t="s">
        <v>333</v>
      </c>
      <c r="G97" t="s">
        <v>342</v>
      </c>
      <c r="H97" t="s">
        <v>352</v>
      </c>
      <c r="I97">
        <v>13</v>
      </c>
      <c r="J97">
        <v>9714</v>
      </c>
    </row>
    <row r="98" spans="1:10" x14ac:dyDescent="0.3">
      <c r="A98" t="s">
        <v>106</v>
      </c>
      <c r="B98" s="25">
        <v>45332</v>
      </c>
      <c r="D98" t="s">
        <v>325</v>
      </c>
      <c r="E98" t="s">
        <v>326</v>
      </c>
      <c r="F98" t="s">
        <v>333</v>
      </c>
      <c r="G98" t="s">
        <v>338</v>
      </c>
      <c r="H98" t="s">
        <v>354</v>
      </c>
      <c r="I98">
        <v>10</v>
      </c>
      <c r="J98">
        <v>1146</v>
      </c>
    </row>
    <row r="99" spans="1:10" x14ac:dyDescent="0.3">
      <c r="A99" t="s">
        <v>107</v>
      </c>
      <c r="B99" t="s">
        <v>498</v>
      </c>
      <c r="C99" t="s">
        <v>312</v>
      </c>
      <c r="D99" t="s">
        <v>325</v>
      </c>
      <c r="E99" t="s">
        <v>329</v>
      </c>
      <c r="F99" t="s">
        <v>331</v>
      </c>
      <c r="G99" t="s">
        <v>341</v>
      </c>
      <c r="H99" t="s">
        <v>358</v>
      </c>
      <c r="I99">
        <v>4</v>
      </c>
      <c r="J99">
        <v>28544</v>
      </c>
    </row>
    <row r="100" spans="1:10" x14ac:dyDescent="0.3">
      <c r="A100" t="s">
        <v>108</v>
      </c>
      <c r="B100" t="s">
        <v>499</v>
      </c>
      <c r="C100" t="s">
        <v>427</v>
      </c>
      <c r="D100" t="s">
        <v>321</v>
      </c>
      <c r="E100" t="s">
        <v>329</v>
      </c>
      <c r="F100" t="s">
        <v>331</v>
      </c>
      <c r="G100" t="s">
        <v>334</v>
      </c>
      <c r="H100" t="s">
        <v>359</v>
      </c>
      <c r="I100">
        <v>7</v>
      </c>
      <c r="J100">
        <v>43651</v>
      </c>
    </row>
    <row r="101" spans="1:10" x14ac:dyDescent="0.3">
      <c r="A101" t="s">
        <v>109</v>
      </c>
      <c r="B101" t="s">
        <v>500</v>
      </c>
      <c r="C101" t="s">
        <v>311</v>
      </c>
      <c r="D101" t="s">
        <v>316</v>
      </c>
      <c r="E101" t="s">
        <v>330</v>
      </c>
      <c r="F101" t="s">
        <v>333</v>
      </c>
      <c r="G101" t="s">
        <v>337</v>
      </c>
      <c r="H101" t="s">
        <v>347</v>
      </c>
      <c r="I101">
        <v>8</v>
      </c>
      <c r="J101">
        <v>4144</v>
      </c>
    </row>
    <row r="102" spans="1:10" x14ac:dyDescent="0.3">
      <c r="A102" t="s">
        <v>110</v>
      </c>
      <c r="B102" t="s">
        <v>501</v>
      </c>
      <c r="C102" t="s">
        <v>310</v>
      </c>
      <c r="D102" t="s">
        <v>320</v>
      </c>
      <c r="E102" t="s">
        <v>328</v>
      </c>
      <c r="F102" t="s">
        <v>333</v>
      </c>
      <c r="G102" t="s">
        <v>337</v>
      </c>
      <c r="H102" t="s">
        <v>347</v>
      </c>
      <c r="I102">
        <v>14</v>
      </c>
      <c r="J102">
        <v>35464</v>
      </c>
    </row>
    <row r="103" spans="1:10" x14ac:dyDescent="0.3">
      <c r="A103" t="s">
        <v>111</v>
      </c>
      <c r="B103" t="s">
        <v>502</v>
      </c>
      <c r="D103" t="s">
        <v>314</v>
      </c>
      <c r="E103" t="s">
        <v>329</v>
      </c>
      <c r="F103" t="s">
        <v>332</v>
      </c>
      <c r="G103" t="s">
        <v>340</v>
      </c>
      <c r="H103" t="s">
        <v>350</v>
      </c>
      <c r="I103">
        <v>20</v>
      </c>
      <c r="J103">
        <v>47459</v>
      </c>
    </row>
    <row r="104" spans="1:10" x14ac:dyDescent="0.3">
      <c r="A104" t="s">
        <v>112</v>
      </c>
      <c r="B104" s="25">
        <v>45322</v>
      </c>
      <c r="C104" t="s">
        <v>363</v>
      </c>
      <c r="D104" t="s">
        <v>317</v>
      </c>
      <c r="E104" t="s">
        <v>330</v>
      </c>
      <c r="F104" t="s">
        <v>331</v>
      </c>
      <c r="G104" t="s">
        <v>339</v>
      </c>
      <c r="H104" t="s">
        <v>357</v>
      </c>
      <c r="I104">
        <v>14</v>
      </c>
      <c r="J104">
        <v>3142</v>
      </c>
    </row>
    <row r="105" spans="1:10" x14ac:dyDescent="0.3">
      <c r="A105" t="s">
        <v>113</v>
      </c>
      <c r="B105" t="s">
        <v>503</v>
      </c>
      <c r="C105" t="s">
        <v>312</v>
      </c>
      <c r="D105" t="s">
        <v>325</v>
      </c>
      <c r="E105" t="s">
        <v>329</v>
      </c>
      <c r="F105" t="s">
        <v>331</v>
      </c>
      <c r="G105" t="s">
        <v>341</v>
      </c>
      <c r="H105" t="s">
        <v>351</v>
      </c>
      <c r="I105">
        <v>4</v>
      </c>
      <c r="J105">
        <v>20692</v>
      </c>
    </row>
    <row r="106" spans="1:10" x14ac:dyDescent="0.3">
      <c r="A106" t="s">
        <v>114</v>
      </c>
      <c r="B106" t="s">
        <v>504</v>
      </c>
      <c r="C106" t="s">
        <v>312</v>
      </c>
      <c r="D106" t="s">
        <v>321</v>
      </c>
      <c r="E106" t="s">
        <v>330</v>
      </c>
      <c r="F106" t="s">
        <v>332</v>
      </c>
      <c r="G106" t="s">
        <v>335</v>
      </c>
      <c r="H106" t="s">
        <v>345</v>
      </c>
      <c r="I106">
        <v>13</v>
      </c>
      <c r="J106">
        <v>46576</v>
      </c>
    </row>
    <row r="107" spans="1:10" x14ac:dyDescent="0.3">
      <c r="A107" t="s">
        <v>115</v>
      </c>
      <c r="B107" t="s">
        <v>505</v>
      </c>
      <c r="C107" t="s">
        <v>311</v>
      </c>
      <c r="D107" t="s">
        <v>315</v>
      </c>
      <c r="E107" t="s">
        <v>329</v>
      </c>
      <c r="F107" t="s">
        <v>332</v>
      </c>
      <c r="G107" t="s">
        <v>336</v>
      </c>
      <c r="H107" t="s">
        <v>346</v>
      </c>
      <c r="I107">
        <v>11</v>
      </c>
      <c r="J107">
        <v>5822</v>
      </c>
    </row>
    <row r="108" spans="1:10" x14ac:dyDescent="0.3">
      <c r="A108" t="s">
        <v>116</v>
      </c>
      <c r="B108" t="s">
        <v>506</v>
      </c>
      <c r="C108" t="s">
        <v>438</v>
      </c>
      <c r="D108" t="s">
        <v>323</v>
      </c>
      <c r="E108" t="s">
        <v>330</v>
      </c>
      <c r="F108" t="s">
        <v>333</v>
      </c>
      <c r="G108" t="s">
        <v>342</v>
      </c>
      <c r="H108" t="s">
        <v>355</v>
      </c>
      <c r="I108">
        <v>9</v>
      </c>
      <c r="J108">
        <v>25115</v>
      </c>
    </row>
    <row r="109" spans="1:10" x14ac:dyDescent="0.3">
      <c r="A109" t="s">
        <v>117</v>
      </c>
      <c r="B109" t="s">
        <v>507</v>
      </c>
      <c r="C109" t="s">
        <v>312</v>
      </c>
      <c r="D109" t="s">
        <v>325</v>
      </c>
      <c r="E109" t="s">
        <v>363</v>
      </c>
      <c r="F109" t="s">
        <v>333</v>
      </c>
      <c r="G109" t="s">
        <v>342</v>
      </c>
      <c r="H109" t="s">
        <v>355</v>
      </c>
      <c r="I109">
        <v>18</v>
      </c>
      <c r="J109">
        <v>13661</v>
      </c>
    </row>
    <row r="110" spans="1:10" x14ac:dyDescent="0.3">
      <c r="A110" t="s">
        <v>118</v>
      </c>
      <c r="B110" t="s">
        <v>508</v>
      </c>
      <c r="C110" t="s">
        <v>313</v>
      </c>
      <c r="D110" t="s">
        <v>324</v>
      </c>
      <c r="E110" t="s">
        <v>330</v>
      </c>
      <c r="F110" t="s">
        <v>332</v>
      </c>
      <c r="G110" t="s">
        <v>340</v>
      </c>
      <c r="H110" t="s">
        <v>350</v>
      </c>
      <c r="I110">
        <v>15</v>
      </c>
      <c r="J110">
        <v>34524</v>
      </c>
    </row>
    <row r="111" spans="1:10" x14ac:dyDescent="0.3">
      <c r="A111" t="s">
        <v>119</v>
      </c>
      <c r="B111" t="s">
        <v>509</v>
      </c>
      <c r="C111" t="s">
        <v>427</v>
      </c>
      <c r="D111" t="s">
        <v>317</v>
      </c>
      <c r="E111" t="s">
        <v>326</v>
      </c>
      <c r="F111" t="s">
        <v>332</v>
      </c>
      <c r="G111" t="s">
        <v>335</v>
      </c>
      <c r="H111" t="s">
        <v>344</v>
      </c>
      <c r="I111">
        <v>17</v>
      </c>
      <c r="J111">
        <v>21448</v>
      </c>
    </row>
    <row r="112" spans="1:10" x14ac:dyDescent="0.3">
      <c r="A112" t="s">
        <v>120</v>
      </c>
      <c r="B112" s="25">
        <v>45314</v>
      </c>
      <c r="C112" t="s">
        <v>312</v>
      </c>
      <c r="D112" t="s">
        <v>317</v>
      </c>
      <c r="E112" t="s">
        <v>329</v>
      </c>
      <c r="F112" t="s">
        <v>333</v>
      </c>
      <c r="G112" t="s">
        <v>342</v>
      </c>
      <c r="H112" t="s">
        <v>352</v>
      </c>
      <c r="I112">
        <v>18</v>
      </c>
      <c r="J112">
        <v>20755</v>
      </c>
    </row>
    <row r="113" spans="1:10" x14ac:dyDescent="0.3">
      <c r="A113" t="s">
        <v>121</v>
      </c>
      <c r="B113" s="25">
        <v>45458</v>
      </c>
      <c r="D113" t="s">
        <v>316</v>
      </c>
      <c r="E113" t="s">
        <v>328</v>
      </c>
      <c r="F113" t="s">
        <v>333</v>
      </c>
      <c r="G113" t="s">
        <v>338</v>
      </c>
      <c r="H113" t="s">
        <v>348</v>
      </c>
      <c r="I113">
        <v>17</v>
      </c>
      <c r="J113">
        <v>764</v>
      </c>
    </row>
    <row r="114" spans="1:10" x14ac:dyDescent="0.3">
      <c r="A114" t="s">
        <v>122</v>
      </c>
      <c r="B114" s="25">
        <v>45459</v>
      </c>
      <c r="C114" t="s">
        <v>312</v>
      </c>
      <c r="D114" t="s">
        <v>321</v>
      </c>
      <c r="E114" t="s">
        <v>328</v>
      </c>
      <c r="F114" t="s">
        <v>333</v>
      </c>
      <c r="G114" t="s">
        <v>337</v>
      </c>
      <c r="H114" t="s">
        <v>347</v>
      </c>
      <c r="I114">
        <v>3</v>
      </c>
      <c r="J114">
        <v>29810</v>
      </c>
    </row>
    <row r="115" spans="1:10" x14ac:dyDescent="0.3">
      <c r="A115" t="s">
        <v>123</v>
      </c>
      <c r="B115" s="25">
        <v>45332</v>
      </c>
      <c r="C115" t="s">
        <v>313</v>
      </c>
      <c r="D115" t="s">
        <v>324</v>
      </c>
      <c r="E115" t="s">
        <v>328</v>
      </c>
      <c r="F115" t="s">
        <v>333</v>
      </c>
      <c r="G115" t="s">
        <v>338</v>
      </c>
      <c r="H115" t="s">
        <v>348</v>
      </c>
      <c r="I115">
        <v>2</v>
      </c>
      <c r="J115">
        <v>9019</v>
      </c>
    </row>
    <row r="116" spans="1:10" x14ac:dyDescent="0.3">
      <c r="A116" t="s">
        <v>124</v>
      </c>
      <c r="B116" s="25">
        <v>45417</v>
      </c>
      <c r="C116" t="s">
        <v>312</v>
      </c>
      <c r="D116" t="s">
        <v>325</v>
      </c>
      <c r="E116" t="s">
        <v>363</v>
      </c>
      <c r="F116" t="s">
        <v>333</v>
      </c>
      <c r="G116" t="s">
        <v>337</v>
      </c>
      <c r="H116" t="s">
        <v>347</v>
      </c>
      <c r="I116">
        <v>11</v>
      </c>
      <c r="J116">
        <v>23896</v>
      </c>
    </row>
    <row r="117" spans="1:10" x14ac:dyDescent="0.3">
      <c r="A117" t="s">
        <v>125</v>
      </c>
      <c r="B117" t="s">
        <v>510</v>
      </c>
      <c r="C117" t="s">
        <v>313</v>
      </c>
      <c r="D117" t="s">
        <v>324</v>
      </c>
      <c r="E117" t="s">
        <v>328</v>
      </c>
      <c r="F117" t="s">
        <v>333</v>
      </c>
      <c r="G117" t="s">
        <v>338</v>
      </c>
      <c r="H117" t="s">
        <v>348</v>
      </c>
      <c r="I117">
        <v>6</v>
      </c>
      <c r="J117">
        <v>2105</v>
      </c>
    </row>
    <row r="118" spans="1:10" x14ac:dyDescent="0.3">
      <c r="A118" t="s">
        <v>126</v>
      </c>
      <c r="B118" t="s">
        <v>511</v>
      </c>
      <c r="C118" t="s">
        <v>310</v>
      </c>
      <c r="D118" t="s">
        <v>320</v>
      </c>
      <c r="E118" t="s">
        <v>330</v>
      </c>
      <c r="F118" t="s">
        <v>332</v>
      </c>
      <c r="G118" t="s">
        <v>335</v>
      </c>
      <c r="H118" t="s">
        <v>344</v>
      </c>
      <c r="I118">
        <v>14</v>
      </c>
      <c r="J118">
        <v>47907</v>
      </c>
    </row>
    <row r="119" spans="1:10" x14ac:dyDescent="0.3">
      <c r="A119" t="s">
        <v>127</v>
      </c>
      <c r="B119" s="25">
        <v>45657</v>
      </c>
      <c r="C119" t="s">
        <v>312</v>
      </c>
      <c r="D119" t="s">
        <v>321</v>
      </c>
      <c r="E119" t="s">
        <v>327</v>
      </c>
      <c r="F119" t="s">
        <v>332</v>
      </c>
      <c r="G119" t="s">
        <v>336</v>
      </c>
      <c r="H119" t="s">
        <v>346</v>
      </c>
      <c r="I119" t="s">
        <v>424</v>
      </c>
      <c r="J119">
        <v>17350</v>
      </c>
    </row>
    <row r="120" spans="1:10" x14ac:dyDescent="0.3">
      <c r="A120" t="s">
        <v>128</v>
      </c>
      <c r="B120" s="25">
        <v>45329</v>
      </c>
      <c r="C120" t="s">
        <v>312</v>
      </c>
      <c r="D120" t="s">
        <v>325</v>
      </c>
      <c r="E120" t="s">
        <v>330</v>
      </c>
      <c r="F120" t="s">
        <v>332</v>
      </c>
      <c r="G120" t="s">
        <v>336</v>
      </c>
      <c r="H120" t="s">
        <v>346</v>
      </c>
      <c r="I120">
        <v>6</v>
      </c>
      <c r="J120">
        <v>33720</v>
      </c>
    </row>
    <row r="121" spans="1:10" x14ac:dyDescent="0.3">
      <c r="A121" t="s">
        <v>129</v>
      </c>
      <c r="B121" t="s">
        <v>512</v>
      </c>
      <c r="C121" t="s">
        <v>474</v>
      </c>
      <c r="D121" t="s">
        <v>315</v>
      </c>
      <c r="E121" t="s">
        <v>329</v>
      </c>
      <c r="F121" t="s">
        <v>332</v>
      </c>
      <c r="G121" t="s">
        <v>340</v>
      </c>
      <c r="H121" t="s">
        <v>350</v>
      </c>
      <c r="I121">
        <v>8</v>
      </c>
      <c r="J121">
        <v>13332</v>
      </c>
    </row>
    <row r="122" spans="1:10" x14ac:dyDescent="0.3">
      <c r="A122" t="s">
        <v>130</v>
      </c>
      <c r="B122" s="25">
        <v>45570</v>
      </c>
      <c r="C122" t="s">
        <v>311</v>
      </c>
      <c r="D122" t="s">
        <v>315</v>
      </c>
      <c r="F122" t="s">
        <v>333</v>
      </c>
      <c r="G122" t="s">
        <v>338</v>
      </c>
      <c r="H122" t="s">
        <v>348</v>
      </c>
      <c r="I122">
        <v>16</v>
      </c>
      <c r="J122">
        <v>47767</v>
      </c>
    </row>
    <row r="123" spans="1:10" x14ac:dyDescent="0.3">
      <c r="A123" t="s">
        <v>131</v>
      </c>
      <c r="B123" t="s">
        <v>513</v>
      </c>
      <c r="D123" t="s">
        <v>317</v>
      </c>
      <c r="E123" t="s">
        <v>326</v>
      </c>
      <c r="F123" t="s">
        <v>333</v>
      </c>
      <c r="G123" t="s">
        <v>342</v>
      </c>
      <c r="H123" t="s">
        <v>352</v>
      </c>
      <c r="I123">
        <v>17</v>
      </c>
      <c r="J123">
        <v>32121</v>
      </c>
    </row>
    <row r="124" spans="1:10" x14ac:dyDescent="0.3">
      <c r="A124" t="s">
        <v>132</v>
      </c>
      <c r="B124" t="s">
        <v>514</v>
      </c>
      <c r="C124" t="s">
        <v>312</v>
      </c>
      <c r="D124" t="s">
        <v>317</v>
      </c>
      <c r="E124" t="s">
        <v>515</v>
      </c>
      <c r="F124" t="s">
        <v>332</v>
      </c>
      <c r="G124" t="s">
        <v>336</v>
      </c>
      <c r="H124" t="s">
        <v>346</v>
      </c>
      <c r="I124">
        <v>15</v>
      </c>
      <c r="J124">
        <v>619</v>
      </c>
    </row>
    <row r="125" spans="1:10" x14ac:dyDescent="0.3">
      <c r="A125" t="s">
        <v>133</v>
      </c>
      <c r="B125" t="s">
        <v>516</v>
      </c>
      <c r="D125" t="s">
        <v>320</v>
      </c>
      <c r="E125" t="s">
        <v>327</v>
      </c>
      <c r="F125" t="s">
        <v>332</v>
      </c>
      <c r="G125" t="s">
        <v>336</v>
      </c>
      <c r="H125" t="s">
        <v>346</v>
      </c>
      <c r="I125">
        <v>10</v>
      </c>
      <c r="J125">
        <v>33786</v>
      </c>
    </row>
    <row r="126" spans="1:10" x14ac:dyDescent="0.3">
      <c r="A126" t="s">
        <v>134</v>
      </c>
      <c r="B126" t="s">
        <v>517</v>
      </c>
      <c r="C126" t="s">
        <v>313</v>
      </c>
      <c r="D126" t="s">
        <v>319</v>
      </c>
      <c r="E126" t="s">
        <v>326</v>
      </c>
      <c r="F126" t="s">
        <v>332</v>
      </c>
      <c r="G126" t="s">
        <v>336</v>
      </c>
      <c r="H126" t="s">
        <v>346</v>
      </c>
      <c r="I126">
        <v>18</v>
      </c>
      <c r="J126">
        <v>34138</v>
      </c>
    </row>
    <row r="128" spans="1:10" x14ac:dyDescent="0.3">
      <c r="A128" t="s">
        <v>135</v>
      </c>
      <c r="B128" t="s">
        <v>518</v>
      </c>
      <c r="C128" t="s">
        <v>363</v>
      </c>
      <c r="D128" t="s">
        <v>318</v>
      </c>
      <c r="E128" t="s">
        <v>329</v>
      </c>
      <c r="F128" t="s">
        <v>332</v>
      </c>
      <c r="G128" t="s">
        <v>336</v>
      </c>
      <c r="H128" t="s">
        <v>346</v>
      </c>
      <c r="I128">
        <v>5</v>
      </c>
      <c r="J128">
        <v>33382</v>
      </c>
    </row>
    <row r="129" spans="1:10" x14ac:dyDescent="0.3">
      <c r="A129" t="s">
        <v>136</v>
      </c>
      <c r="B129" t="s">
        <v>519</v>
      </c>
      <c r="C129" t="s">
        <v>474</v>
      </c>
      <c r="D129" t="s">
        <v>318</v>
      </c>
      <c r="E129" t="s">
        <v>327</v>
      </c>
      <c r="F129" t="s">
        <v>331</v>
      </c>
      <c r="G129" t="s">
        <v>341</v>
      </c>
      <c r="H129" t="s">
        <v>358</v>
      </c>
      <c r="I129">
        <v>14</v>
      </c>
      <c r="J129">
        <v>48443</v>
      </c>
    </row>
    <row r="130" spans="1:10" x14ac:dyDescent="0.3">
      <c r="A130" t="s">
        <v>137</v>
      </c>
      <c r="B130" t="s">
        <v>520</v>
      </c>
      <c r="C130" t="s">
        <v>312</v>
      </c>
      <c r="D130" t="s">
        <v>317</v>
      </c>
      <c r="E130" t="s">
        <v>327</v>
      </c>
      <c r="F130" t="s">
        <v>333</v>
      </c>
      <c r="G130" t="s">
        <v>338</v>
      </c>
      <c r="H130" t="s">
        <v>348</v>
      </c>
      <c r="I130">
        <v>3</v>
      </c>
      <c r="J130">
        <v>6100</v>
      </c>
    </row>
    <row r="131" spans="1:10" x14ac:dyDescent="0.3">
      <c r="A131" t="s">
        <v>138</v>
      </c>
      <c r="B131" t="s">
        <v>521</v>
      </c>
      <c r="C131" t="s">
        <v>312</v>
      </c>
      <c r="D131" t="s">
        <v>317</v>
      </c>
      <c r="E131" t="s">
        <v>326</v>
      </c>
      <c r="F131" t="s">
        <v>333</v>
      </c>
      <c r="G131" t="s">
        <v>338</v>
      </c>
      <c r="H131" t="s">
        <v>348</v>
      </c>
      <c r="I131">
        <v>11</v>
      </c>
      <c r="J131">
        <v>25658</v>
      </c>
    </row>
    <row r="132" spans="1:10" x14ac:dyDescent="0.3">
      <c r="A132" t="s">
        <v>139</v>
      </c>
      <c r="B132" t="s">
        <v>522</v>
      </c>
      <c r="C132" t="s">
        <v>311</v>
      </c>
      <c r="D132" t="s">
        <v>315</v>
      </c>
      <c r="E132" t="s">
        <v>330</v>
      </c>
      <c r="F132" t="s">
        <v>333</v>
      </c>
      <c r="G132" t="s">
        <v>338</v>
      </c>
      <c r="H132" t="s">
        <v>354</v>
      </c>
      <c r="I132">
        <v>1</v>
      </c>
      <c r="J132">
        <v>11477</v>
      </c>
    </row>
    <row r="133" spans="1:10" x14ac:dyDescent="0.3">
      <c r="A133" t="s">
        <v>140</v>
      </c>
      <c r="B133" t="s">
        <v>523</v>
      </c>
      <c r="C133" t="s">
        <v>313</v>
      </c>
      <c r="D133" t="s">
        <v>324</v>
      </c>
      <c r="E133" t="s">
        <v>329</v>
      </c>
      <c r="F133" t="s">
        <v>331</v>
      </c>
      <c r="G133" t="s">
        <v>341</v>
      </c>
      <c r="H133" t="s">
        <v>351</v>
      </c>
      <c r="I133">
        <v>17</v>
      </c>
      <c r="J133">
        <v>19026</v>
      </c>
    </row>
    <row r="134" spans="1:10" x14ac:dyDescent="0.3">
      <c r="A134" t="s">
        <v>141</v>
      </c>
      <c r="B134" s="25">
        <v>45540</v>
      </c>
      <c r="C134" t="s">
        <v>311</v>
      </c>
      <c r="D134" t="s">
        <v>318</v>
      </c>
      <c r="E134" t="s">
        <v>330</v>
      </c>
      <c r="F134" t="s">
        <v>333</v>
      </c>
      <c r="G134" t="s">
        <v>338</v>
      </c>
      <c r="H134" t="s">
        <v>348</v>
      </c>
      <c r="I134">
        <v>16</v>
      </c>
      <c r="J134">
        <v>26539</v>
      </c>
    </row>
    <row r="135" spans="1:10" x14ac:dyDescent="0.3">
      <c r="A135" t="s">
        <v>142</v>
      </c>
      <c r="B135" s="25">
        <v>45368</v>
      </c>
      <c r="C135" t="s">
        <v>311</v>
      </c>
      <c r="D135" t="s">
        <v>315</v>
      </c>
      <c r="E135" t="s">
        <v>330</v>
      </c>
      <c r="F135" t="s">
        <v>331</v>
      </c>
      <c r="G135" t="s">
        <v>339</v>
      </c>
      <c r="H135" t="s">
        <v>357</v>
      </c>
      <c r="I135">
        <v>1</v>
      </c>
      <c r="J135">
        <v>6967</v>
      </c>
    </row>
    <row r="136" spans="1:10" x14ac:dyDescent="0.3">
      <c r="A136" t="s">
        <v>143</v>
      </c>
      <c r="B136" t="s">
        <v>524</v>
      </c>
      <c r="C136" t="s">
        <v>313</v>
      </c>
      <c r="D136" t="s">
        <v>323</v>
      </c>
      <c r="E136" t="s">
        <v>330</v>
      </c>
      <c r="F136" t="s">
        <v>333</v>
      </c>
      <c r="G136" t="s">
        <v>342</v>
      </c>
      <c r="H136" t="s">
        <v>355</v>
      </c>
      <c r="I136">
        <v>1</v>
      </c>
      <c r="J136">
        <v>6043</v>
      </c>
    </row>
    <row r="137" spans="1:10" x14ac:dyDescent="0.3">
      <c r="A137" t="s">
        <v>144</v>
      </c>
      <c r="B137" t="s">
        <v>525</v>
      </c>
      <c r="C137" t="s">
        <v>311</v>
      </c>
      <c r="D137" t="s">
        <v>318</v>
      </c>
      <c r="E137" t="s">
        <v>326</v>
      </c>
      <c r="F137" t="s">
        <v>331</v>
      </c>
      <c r="G137" t="s">
        <v>341</v>
      </c>
      <c r="H137" t="s">
        <v>358</v>
      </c>
      <c r="I137">
        <v>12</v>
      </c>
      <c r="J137">
        <v>3282</v>
      </c>
    </row>
    <row r="138" spans="1:10" x14ac:dyDescent="0.3">
      <c r="A138" t="s">
        <v>145</v>
      </c>
      <c r="B138" t="s">
        <v>526</v>
      </c>
      <c r="C138" t="s">
        <v>312</v>
      </c>
      <c r="D138" t="s">
        <v>325</v>
      </c>
      <c r="E138" t="s">
        <v>327</v>
      </c>
      <c r="F138" t="s">
        <v>332</v>
      </c>
      <c r="G138" t="s">
        <v>336</v>
      </c>
      <c r="H138" t="s">
        <v>346</v>
      </c>
      <c r="I138">
        <v>9</v>
      </c>
      <c r="J138">
        <v>45062</v>
      </c>
    </row>
    <row r="139" spans="1:10" x14ac:dyDescent="0.3">
      <c r="A139" t="s">
        <v>146</v>
      </c>
      <c r="B139" s="25">
        <v>45401</v>
      </c>
      <c r="C139" t="s">
        <v>313</v>
      </c>
      <c r="D139" t="s">
        <v>323</v>
      </c>
      <c r="E139" t="s">
        <v>327</v>
      </c>
      <c r="F139" t="s">
        <v>333</v>
      </c>
      <c r="G139" t="s">
        <v>337</v>
      </c>
      <c r="H139" t="s">
        <v>347</v>
      </c>
      <c r="I139">
        <v>13</v>
      </c>
      <c r="J139">
        <v>8312</v>
      </c>
    </row>
    <row r="140" spans="1:10" x14ac:dyDescent="0.3">
      <c r="A140" t="s">
        <v>147</v>
      </c>
      <c r="B140" t="s">
        <v>527</v>
      </c>
      <c r="C140" t="s">
        <v>496</v>
      </c>
      <c r="D140" t="s">
        <v>316</v>
      </c>
      <c r="E140" t="s">
        <v>327</v>
      </c>
      <c r="F140" t="s">
        <v>332</v>
      </c>
      <c r="G140" t="s">
        <v>336</v>
      </c>
      <c r="H140" t="s">
        <v>346</v>
      </c>
      <c r="I140">
        <v>20</v>
      </c>
      <c r="J140">
        <v>31604</v>
      </c>
    </row>
    <row r="141" spans="1:10" x14ac:dyDescent="0.3">
      <c r="A141" t="s">
        <v>148</v>
      </c>
      <c r="B141" t="s">
        <v>528</v>
      </c>
      <c r="C141" t="s">
        <v>312</v>
      </c>
      <c r="D141" t="s">
        <v>529</v>
      </c>
      <c r="E141" t="s">
        <v>328</v>
      </c>
      <c r="F141" t="s">
        <v>333</v>
      </c>
      <c r="G141" t="s">
        <v>337</v>
      </c>
      <c r="H141" t="s">
        <v>347</v>
      </c>
      <c r="I141">
        <v>9</v>
      </c>
      <c r="J141">
        <v>27502</v>
      </c>
    </row>
    <row r="142" spans="1:10" x14ac:dyDescent="0.3">
      <c r="A142" t="s">
        <v>149</v>
      </c>
      <c r="B142" t="s">
        <v>530</v>
      </c>
      <c r="C142" t="s">
        <v>313</v>
      </c>
      <c r="D142" t="s">
        <v>324</v>
      </c>
      <c r="E142" t="s">
        <v>329</v>
      </c>
      <c r="F142" t="s">
        <v>332</v>
      </c>
      <c r="G142" t="s">
        <v>336</v>
      </c>
      <c r="H142" t="s">
        <v>346</v>
      </c>
      <c r="I142">
        <v>16</v>
      </c>
      <c r="J142">
        <v>6940</v>
      </c>
    </row>
    <row r="143" spans="1:10" x14ac:dyDescent="0.3">
      <c r="A143" t="s">
        <v>150</v>
      </c>
      <c r="B143" t="s">
        <v>531</v>
      </c>
      <c r="C143" t="s">
        <v>312</v>
      </c>
      <c r="D143" t="s">
        <v>325</v>
      </c>
      <c r="E143" t="s">
        <v>328</v>
      </c>
      <c r="F143" t="s">
        <v>332</v>
      </c>
      <c r="G143" t="s">
        <v>340</v>
      </c>
      <c r="H143" t="s">
        <v>350</v>
      </c>
      <c r="I143">
        <v>15</v>
      </c>
      <c r="J143">
        <v>19851</v>
      </c>
    </row>
    <row r="144" spans="1:10" x14ac:dyDescent="0.3">
      <c r="A144" t="s">
        <v>151</v>
      </c>
      <c r="B144" s="25">
        <v>45653</v>
      </c>
      <c r="C144" t="s">
        <v>312</v>
      </c>
      <c r="D144" t="s">
        <v>321</v>
      </c>
      <c r="E144" t="s">
        <v>330</v>
      </c>
      <c r="F144" t="s">
        <v>332</v>
      </c>
      <c r="G144" t="s">
        <v>340</v>
      </c>
      <c r="H144" t="s">
        <v>350</v>
      </c>
      <c r="I144">
        <v>14</v>
      </c>
      <c r="J144">
        <v>9921</v>
      </c>
    </row>
    <row r="145" spans="1:10" x14ac:dyDescent="0.3">
      <c r="A145" t="s">
        <v>152</v>
      </c>
      <c r="B145" t="s">
        <v>532</v>
      </c>
      <c r="C145" t="s">
        <v>310</v>
      </c>
      <c r="D145" t="s">
        <v>320</v>
      </c>
      <c r="E145" t="s">
        <v>533</v>
      </c>
      <c r="F145" t="s">
        <v>331</v>
      </c>
      <c r="G145" t="s">
        <v>334</v>
      </c>
      <c r="H145" t="s">
        <v>359</v>
      </c>
      <c r="I145">
        <v>2</v>
      </c>
      <c r="J145">
        <v>35116</v>
      </c>
    </row>
    <row r="146" spans="1:10" x14ac:dyDescent="0.3">
      <c r="A146" t="s">
        <v>153</v>
      </c>
      <c r="B146" t="s">
        <v>534</v>
      </c>
      <c r="C146" t="s">
        <v>310</v>
      </c>
      <c r="D146" t="s">
        <v>320</v>
      </c>
      <c r="E146" t="s">
        <v>329</v>
      </c>
      <c r="F146" t="s">
        <v>333</v>
      </c>
      <c r="G146" t="s">
        <v>338</v>
      </c>
      <c r="H146" t="s">
        <v>348</v>
      </c>
      <c r="I146">
        <v>9</v>
      </c>
      <c r="J146">
        <v>32399</v>
      </c>
    </row>
    <row r="147" spans="1:10" x14ac:dyDescent="0.3">
      <c r="A147" t="s">
        <v>154</v>
      </c>
      <c r="B147" t="s">
        <v>535</v>
      </c>
      <c r="C147" t="s">
        <v>310</v>
      </c>
      <c r="D147" t="s">
        <v>320</v>
      </c>
      <c r="E147" t="s">
        <v>329</v>
      </c>
      <c r="F147" t="s">
        <v>333</v>
      </c>
      <c r="G147" t="s">
        <v>337</v>
      </c>
      <c r="H147" t="s">
        <v>347</v>
      </c>
      <c r="I147">
        <v>6</v>
      </c>
      <c r="J147">
        <v>39897</v>
      </c>
    </row>
    <row r="148" spans="1:10" x14ac:dyDescent="0.3">
      <c r="A148" t="s">
        <v>155</v>
      </c>
      <c r="B148" t="s">
        <v>536</v>
      </c>
      <c r="C148" t="s">
        <v>310</v>
      </c>
      <c r="D148" t="s">
        <v>314</v>
      </c>
      <c r="E148" t="s">
        <v>330</v>
      </c>
      <c r="F148" t="s">
        <v>332</v>
      </c>
      <c r="G148" t="s">
        <v>336</v>
      </c>
      <c r="H148" t="s">
        <v>346</v>
      </c>
      <c r="I148">
        <v>2</v>
      </c>
      <c r="J148">
        <v>33226</v>
      </c>
    </row>
    <row r="149" spans="1:10" x14ac:dyDescent="0.3">
      <c r="A149" t="s">
        <v>156</v>
      </c>
      <c r="B149" t="s">
        <v>537</v>
      </c>
      <c r="C149" t="s">
        <v>313</v>
      </c>
      <c r="D149" t="s">
        <v>319</v>
      </c>
      <c r="F149" t="s">
        <v>332</v>
      </c>
      <c r="G149" t="s">
        <v>335</v>
      </c>
      <c r="H149" t="s">
        <v>344</v>
      </c>
      <c r="I149">
        <v>16</v>
      </c>
      <c r="J149">
        <v>31683</v>
      </c>
    </row>
    <row r="150" spans="1:10" x14ac:dyDescent="0.3">
      <c r="A150" t="s">
        <v>157</v>
      </c>
      <c r="B150" s="25">
        <v>45423</v>
      </c>
      <c r="C150" t="s">
        <v>313</v>
      </c>
      <c r="D150" t="s">
        <v>323</v>
      </c>
      <c r="E150" t="s">
        <v>363</v>
      </c>
      <c r="F150" t="s">
        <v>331</v>
      </c>
      <c r="G150" t="s">
        <v>339</v>
      </c>
      <c r="H150" t="s">
        <v>349</v>
      </c>
      <c r="I150">
        <v>3</v>
      </c>
      <c r="J150">
        <v>41832</v>
      </c>
    </row>
    <row r="151" spans="1:10" x14ac:dyDescent="0.3">
      <c r="A151" t="s">
        <v>158</v>
      </c>
      <c r="B151" t="s">
        <v>538</v>
      </c>
      <c r="C151" t="s">
        <v>312</v>
      </c>
      <c r="D151" t="s">
        <v>325</v>
      </c>
      <c r="E151" t="s">
        <v>328</v>
      </c>
      <c r="F151" t="s">
        <v>331</v>
      </c>
      <c r="G151" t="s">
        <v>341</v>
      </c>
      <c r="H151" t="s">
        <v>358</v>
      </c>
      <c r="I151">
        <v>7</v>
      </c>
      <c r="J151">
        <v>33165</v>
      </c>
    </row>
    <row r="152" spans="1:10" x14ac:dyDescent="0.3">
      <c r="A152" t="s">
        <v>159</v>
      </c>
      <c r="B152" s="25">
        <v>45448</v>
      </c>
      <c r="C152" t="s">
        <v>313</v>
      </c>
      <c r="D152" t="s">
        <v>324</v>
      </c>
      <c r="E152" t="s">
        <v>328</v>
      </c>
      <c r="F152" t="s">
        <v>333</v>
      </c>
      <c r="G152" t="s">
        <v>342</v>
      </c>
      <c r="H152" t="s">
        <v>352</v>
      </c>
      <c r="I152">
        <v>8</v>
      </c>
      <c r="J152">
        <v>5742</v>
      </c>
    </row>
    <row r="153" spans="1:10" x14ac:dyDescent="0.3">
      <c r="A153" t="s">
        <v>160</v>
      </c>
      <c r="B153" s="25">
        <v>45429</v>
      </c>
      <c r="C153" t="s">
        <v>310</v>
      </c>
      <c r="D153" t="s">
        <v>320</v>
      </c>
      <c r="E153" t="s">
        <v>328</v>
      </c>
      <c r="F153" t="s">
        <v>332</v>
      </c>
      <c r="G153" t="s">
        <v>336</v>
      </c>
      <c r="H153" t="s">
        <v>346</v>
      </c>
      <c r="I153">
        <v>17</v>
      </c>
      <c r="J153">
        <v>25056</v>
      </c>
    </row>
    <row r="154" spans="1:10" x14ac:dyDescent="0.3">
      <c r="A154" t="s">
        <v>161</v>
      </c>
      <c r="B154" s="25">
        <v>45350</v>
      </c>
      <c r="C154" t="s">
        <v>312</v>
      </c>
      <c r="D154" t="s">
        <v>321</v>
      </c>
      <c r="E154" t="s">
        <v>329</v>
      </c>
      <c r="F154" t="s">
        <v>333</v>
      </c>
      <c r="G154" t="s">
        <v>338</v>
      </c>
      <c r="H154" t="s">
        <v>354</v>
      </c>
      <c r="I154">
        <v>5</v>
      </c>
      <c r="J154">
        <v>44843</v>
      </c>
    </row>
    <row r="155" spans="1:10" x14ac:dyDescent="0.3">
      <c r="A155" t="s">
        <v>162</v>
      </c>
      <c r="B155" t="s">
        <v>539</v>
      </c>
      <c r="C155" t="s">
        <v>312</v>
      </c>
      <c r="D155" t="s">
        <v>317</v>
      </c>
      <c r="E155" t="s">
        <v>329</v>
      </c>
      <c r="F155" t="s">
        <v>331</v>
      </c>
      <c r="G155" t="s">
        <v>339</v>
      </c>
      <c r="H155" t="s">
        <v>349</v>
      </c>
      <c r="I155">
        <v>11</v>
      </c>
      <c r="J155">
        <v>16515</v>
      </c>
    </row>
    <row r="156" spans="1:10" x14ac:dyDescent="0.3">
      <c r="A156" t="s">
        <v>163</v>
      </c>
      <c r="B156" t="s">
        <v>540</v>
      </c>
      <c r="C156" t="s">
        <v>313</v>
      </c>
      <c r="D156" t="s">
        <v>319</v>
      </c>
      <c r="E156" t="s">
        <v>330</v>
      </c>
      <c r="F156" t="s">
        <v>331</v>
      </c>
      <c r="G156" t="s">
        <v>334</v>
      </c>
      <c r="H156" t="s">
        <v>343</v>
      </c>
      <c r="I156">
        <v>13</v>
      </c>
      <c r="J156">
        <v>24583</v>
      </c>
    </row>
    <row r="157" spans="1:10" x14ac:dyDescent="0.3">
      <c r="A157" t="s">
        <v>164</v>
      </c>
      <c r="B157" s="25">
        <v>45296</v>
      </c>
      <c r="C157" t="s">
        <v>310</v>
      </c>
      <c r="D157" t="s">
        <v>322</v>
      </c>
      <c r="E157" t="s">
        <v>328</v>
      </c>
      <c r="F157" t="s">
        <v>332</v>
      </c>
      <c r="G157" t="s">
        <v>340</v>
      </c>
      <c r="H157" t="s">
        <v>350</v>
      </c>
      <c r="I157">
        <v>11</v>
      </c>
      <c r="J157" t="s">
        <v>541</v>
      </c>
    </row>
    <row r="158" spans="1:10" x14ac:dyDescent="0.3">
      <c r="A158" t="s">
        <v>165</v>
      </c>
      <c r="B158" s="25">
        <v>45499</v>
      </c>
      <c r="C158" t="s">
        <v>313</v>
      </c>
      <c r="D158" t="s">
        <v>319</v>
      </c>
      <c r="E158" t="s">
        <v>327</v>
      </c>
      <c r="F158" t="s">
        <v>332</v>
      </c>
      <c r="G158" t="s">
        <v>335</v>
      </c>
      <c r="H158" t="s">
        <v>345</v>
      </c>
      <c r="I158">
        <v>19</v>
      </c>
      <c r="J158">
        <v>40874</v>
      </c>
    </row>
    <row r="159" spans="1:10" x14ac:dyDescent="0.3">
      <c r="A159" t="s">
        <v>166</v>
      </c>
      <c r="B159" s="25">
        <v>45446</v>
      </c>
      <c r="C159" t="s">
        <v>311</v>
      </c>
      <c r="D159" t="s">
        <v>318</v>
      </c>
      <c r="E159" t="s">
        <v>330</v>
      </c>
      <c r="F159" t="s">
        <v>333</v>
      </c>
      <c r="G159" t="s">
        <v>337</v>
      </c>
      <c r="H159" t="s">
        <v>347</v>
      </c>
      <c r="I159">
        <v>10</v>
      </c>
      <c r="J159">
        <v>36187</v>
      </c>
    </row>
    <row r="160" spans="1:10" x14ac:dyDescent="0.3">
      <c r="A160" t="s">
        <v>167</v>
      </c>
      <c r="B160" t="s">
        <v>542</v>
      </c>
      <c r="C160" t="s">
        <v>310</v>
      </c>
      <c r="D160" t="s">
        <v>322</v>
      </c>
      <c r="E160" t="s">
        <v>330</v>
      </c>
      <c r="F160" t="s">
        <v>332</v>
      </c>
      <c r="G160" t="s">
        <v>336</v>
      </c>
      <c r="H160" t="s">
        <v>346</v>
      </c>
      <c r="I160">
        <v>7</v>
      </c>
      <c r="J160">
        <v>28682</v>
      </c>
    </row>
    <row r="161" spans="1:10" x14ac:dyDescent="0.3">
      <c r="A161" t="s">
        <v>168</v>
      </c>
      <c r="B161" t="s">
        <v>543</v>
      </c>
      <c r="C161" t="s">
        <v>313</v>
      </c>
      <c r="D161" t="s">
        <v>319</v>
      </c>
      <c r="E161" t="s">
        <v>328</v>
      </c>
      <c r="F161" t="s">
        <v>331</v>
      </c>
      <c r="G161" t="s">
        <v>334</v>
      </c>
      <c r="H161" t="s">
        <v>359</v>
      </c>
      <c r="I161">
        <v>9</v>
      </c>
      <c r="J161" t="s">
        <v>544</v>
      </c>
    </row>
    <row r="162" spans="1:10" x14ac:dyDescent="0.3">
      <c r="A162" t="s">
        <v>169</v>
      </c>
      <c r="B162" t="s">
        <v>545</v>
      </c>
      <c r="C162" t="s">
        <v>310</v>
      </c>
      <c r="D162" t="s">
        <v>320</v>
      </c>
      <c r="E162" t="s">
        <v>328</v>
      </c>
      <c r="F162" t="s">
        <v>332</v>
      </c>
      <c r="G162" t="s">
        <v>335</v>
      </c>
      <c r="H162" t="s">
        <v>345</v>
      </c>
      <c r="I162">
        <v>12</v>
      </c>
      <c r="J162">
        <v>35900</v>
      </c>
    </row>
    <row r="163" spans="1:10" x14ac:dyDescent="0.3">
      <c r="A163" t="s">
        <v>170</v>
      </c>
      <c r="B163" t="s">
        <v>546</v>
      </c>
      <c r="C163" t="s">
        <v>547</v>
      </c>
      <c r="D163" t="s">
        <v>325</v>
      </c>
      <c r="E163" t="s">
        <v>363</v>
      </c>
      <c r="F163" t="s">
        <v>333</v>
      </c>
      <c r="G163" t="s">
        <v>338</v>
      </c>
      <c r="H163" t="s">
        <v>354</v>
      </c>
      <c r="I163">
        <v>19</v>
      </c>
      <c r="J163">
        <v>9501</v>
      </c>
    </row>
    <row r="164" spans="1:10" x14ac:dyDescent="0.3">
      <c r="A164" t="s">
        <v>171</v>
      </c>
      <c r="B164" t="s">
        <v>437</v>
      </c>
      <c r="C164" t="s">
        <v>310</v>
      </c>
      <c r="D164" t="s">
        <v>320</v>
      </c>
      <c r="E164" t="s">
        <v>330</v>
      </c>
      <c r="F164" t="s">
        <v>333</v>
      </c>
      <c r="G164" t="s">
        <v>338</v>
      </c>
      <c r="H164" t="s">
        <v>348</v>
      </c>
      <c r="I164">
        <v>13</v>
      </c>
      <c r="J164">
        <v>29017</v>
      </c>
    </row>
    <row r="165" spans="1:10" x14ac:dyDescent="0.3">
      <c r="A165" t="s">
        <v>172</v>
      </c>
      <c r="B165" s="25">
        <v>45443</v>
      </c>
      <c r="C165" t="s">
        <v>311</v>
      </c>
      <c r="D165" t="s">
        <v>315</v>
      </c>
      <c r="E165" t="s">
        <v>328</v>
      </c>
      <c r="F165" t="s">
        <v>332</v>
      </c>
      <c r="G165" t="s">
        <v>335</v>
      </c>
      <c r="H165" t="s">
        <v>345</v>
      </c>
      <c r="I165">
        <v>1</v>
      </c>
      <c r="J165">
        <v>35411</v>
      </c>
    </row>
    <row r="166" spans="1:10" x14ac:dyDescent="0.3">
      <c r="A166" t="s">
        <v>173</v>
      </c>
      <c r="B166" s="25">
        <v>45579</v>
      </c>
      <c r="C166" t="s">
        <v>312</v>
      </c>
      <c r="D166" t="s">
        <v>325</v>
      </c>
      <c r="E166" t="s">
        <v>327</v>
      </c>
      <c r="F166" t="s">
        <v>331</v>
      </c>
      <c r="G166" t="s">
        <v>334</v>
      </c>
      <c r="H166" t="s">
        <v>359</v>
      </c>
      <c r="I166">
        <v>15</v>
      </c>
      <c r="J166">
        <v>2190</v>
      </c>
    </row>
    <row r="167" spans="1:10" x14ac:dyDescent="0.3">
      <c r="A167" t="s">
        <v>174</v>
      </c>
      <c r="B167" t="s">
        <v>548</v>
      </c>
      <c r="C167" t="s">
        <v>363</v>
      </c>
      <c r="D167" t="s">
        <v>318</v>
      </c>
      <c r="E167" t="s">
        <v>326</v>
      </c>
      <c r="F167" t="s">
        <v>332</v>
      </c>
      <c r="G167" t="s">
        <v>340</v>
      </c>
      <c r="H167" t="s">
        <v>350</v>
      </c>
      <c r="I167">
        <v>13</v>
      </c>
      <c r="J167">
        <v>39900</v>
      </c>
    </row>
    <row r="168" spans="1:10" x14ac:dyDescent="0.3">
      <c r="A168" t="s">
        <v>175</v>
      </c>
      <c r="B168" t="s">
        <v>549</v>
      </c>
      <c r="C168" t="s">
        <v>311</v>
      </c>
      <c r="D168" t="s">
        <v>315</v>
      </c>
      <c r="E168" t="s">
        <v>327</v>
      </c>
      <c r="F168" t="s">
        <v>331</v>
      </c>
      <c r="G168" t="s">
        <v>334</v>
      </c>
      <c r="H168" t="s">
        <v>343</v>
      </c>
      <c r="I168">
        <v>2</v>
      </c>
      <c r="J168">
        <v>7482</v>
      </c>
    </row>
    <row r="169" spans="1:10" x14ac:dyDescent="0.3">
      <c r="A169" t="s">
        <v>176</v>
      </c>
      <c r="B169" t="s">
        <v>550</v>
      </c>
      <c r="C169" t="s">
        <v>310</v>
      </c>
      <c r="D169" t="s">
        <v>314</v>
      </c>
      <c r="E169" t="s">
        <v>329</v>
      </c>
      <c r="F169" t="s">
        <v>332</v>
      </c>
      <c r="G169" t="s">
        <v>340</v>
      </c>
      <c r="H169" t="s">
        <v>350</v>
      </c>
      <c r="I169">
        <v>16</v>
      </c>
      <c r="J169">
        <v>45909</v>
      </c>
    </row>
    <row r="170" spans="1:10" x14ac:dyDescent="0.3">
      <c r="A170" t="s">
        <v>177</v>
      </c>
      <c r="B170" t="s">
        <v>551</v>
      </c>
      <c r="C170" t="s">
        <v>310</v>
      </c>
      <c r="D170" t="s">
        <v>314</v>
      </c>
      <c r="E170" t="s">
        <v>330</v>
      </c>
      <c r="F170" t="s">
        <v>331</v>
      </c>
      <c r="G170" t="s">
        <v>339</v>
      </c>
      <c r="H170" t="s">
        <v>349</v>
      </c>
      <c r="I170">
        <v>4</v>
      </c>
      <c r="J170">
        <v>2859</v>
      </c>
    </row>
    <row r="171" spans="1:10" x14ac:dyDescent="0.3">
      <c r="A171" t="s">
        <v>178</v>
      </c>
      <c r="B171" t="s">
        <v>552</v>
      </c>
      <c r="C171" t="s">
        <v>313</v>
      </c>
      <c r="D171" t="s">
        <v>363</v>
      </c>
      <c r="E171" t="s">
        <v>327</v>
      </c>
      <c r="F171" t="s">
        <v>332</v>
      </c>
      <c r="G171" t="s">
        <v>340</v>
      </c>
      <c r="H171" t="s">
        <v>350</v>
      </c>
      <c r="I171">
        <v>20</v>
      </c>
      <c r="J171">
        <v>28699</v>
      </c>
    </row>
    <row r="172" spans="1:10" x14ac:dyDescent="0.3">
      <c r="A172" t="s">
        <v>179</v>
      </c>
      <c r="B172" t="s">
        <v>553</v>
      </c>
      <c r="C172" t="s">
        <v>311</v>
      </c>
      <c r="D172" t="s">
        <v>413</v>
      </c>
      <c r="E172" t="s">
        <v>330</v>
      </c>
      <c r="F172" t="s">
        <v>333</v>
      </c>
      <c r="G172" t="s">
        <v>338</v>
      </c>
      <c r="H172" t="s">
        <v>348</v>
      </c>
      <c r="I172">
        <v>20</v>
      </c>
      <c r="J172">
        <v>34212</v>
      </c>
    </row>
    <row r="173" spans="1:10" x14ac:dyDescent="0.3">
      <c r="A173" t="s">
        <v>180</v>
      </c>
      <c r="B173" t="s">
        <v>554</v>
      </c>
      <c r="C173" t="s">
        <v>310</v>
      </c>
      <c r="D173" t="s">
        <v>322</v>
      </c>
      <c r="E173" t="s">
        <v>330</v>
      </c>
      <c r="F173" t="s">
        <v>333</v>
      </c>
      <c r="G173" t="s">
        <v>337</v>
      </c>
      <c r="H173" t="s">
        <v>347</v>
      </c>
      <c r="I173">
        <v>18</v>
      </c>
      <c r="J173">
        <v>42322</v>
      </c>
    </row>
    <row r="174" spans="1:10" x14ac:dyDescent="0.3">
      <c r="A174" t="s">
        <v>181</v>
      </c>
      <c r="B174" t="s">
        <v>417</v>
      </c>
      <c r="C174" t="s">
        <v>474</v>
      </c>
      <c r="D174" t="s">
        <v>316</v>
      </c>
      <c r="E174" t="s">
        <v>330</v>
      </c>
      <c r="F174" t="s">
        <v>332</v>
      </c>
      <c r="G174" t="s">
        <v>335</v>
      </c>
      <c r="H174" t="s">
        <v>344</v>
      </c>
      <c r="I174">
        <v>13</v>
      </c>
      <c r="J174">
        <v>41592</v>
      </c>
    </row>
    <row r="175" spans="1:10" x14ac:dyDescent="0.3">
      <c r="A175" t="s">
        <v>182</v>
      </c>
      <c r="B175" t="s">
        <v>555</v>
      </c>
      <c r="C175" t="s">
        <v>310</v>
      </c>
      <c r="D175" t="s">
        <v>320</v>
      </c>
      <c r="E175" t="s">
        <v>329</v>
      </c>
      <c r="F175" t="s">
        <v>332</v>
      </c>
      <c r="G175" t="s">
        <v>335</v>
      </c>
      <c r="H175" t="s">
        <v>344</v>
      </c>
      <c r="I175">
        <v>11</v>
      </c>
      <c r="J175">
        <v>43231</v>
      </c>
    </row>
    <row r="176" spans="1:10" x14ac:dyDescent="0.3">
      <c r="A176" t="s">
        <v>183</v>
      </c>
      <c r="B176" t="s">
        <v>556</v>
      </c>
      <c r="C176" t="s">
        <v>310</v>
      </c>
      <c r="D176" t="s">
        <v>314</v>
      </c>
      <c r="E176" t="s">
        <v>326</v>
      </c>
      <c r="F176" t="s">
        <v>333</v>
      </c>
      <c r="G176" t="s">
        <v>337</v>
      </c>
      <c r="H176" t="s">
        <v>347</v>
      </c>
      <c r="I176">
        <v>7</v>
      </c>
      <c r="J176">
        <v>28510</v>
      </c>
    </row>
    <row r="177" spans="1:10" x14ac:dyDescent="0.3">
      <c r="A177" t="s">
        <v>184</v>
      </c>
      <c r="C177" t="s">
        <v>311</v>
      </c>
      <c r="D177" t="s">
        <v>316</v>
      </c>
      <c r="E177" t="s">
        <v>330</v>
      </c>
      <c r="F177" t="s">
        <v>332</v>
      </c>
      <c r="G177" t="s">
        <v>335</v>
      </c>
      <c r="H177" t="s">
        <v>345</v>
      </c>
      <c r="I177">
        <v>5</v>
      </c>
      <c r="J177">
        <v>982</v>
      </c>
    </row>
    <row r="179" spans="1:10" x14ac:dyDescent="0.3">
      <c r="A179" t="s">
        <v>185</v>
      </c>
      <c r="B179" s="25">
        <v>45330</v>
      </c>
      <c r="C179" t="s">
        <v>311</v>
      </c>
      <c r="D179" t="s">
        <v>316</v>
      </c>
      <c r="E179" t="s">
        <v>330</v>
      </c>
      <c r="F179" t="s">
        <v>331</v>
      </c>
      <c r="G179" t="s">
        <v>339</v>
      </c>
      <c r="H179" t="s">
        <v>349</v>
      </c>
      <c r="I179">
        <v>15</v>
      </c>
      <c r="J179">
        <v>24908</v>
      </c>
    </row>
    <row r="180" spans="1:10" x14ac:dyDescent="0.3">
      <c r="A180" t="s">
        <v>186</v>
      </c>
      <c r="B180" t="s">
        <v>557</v>
      </c>
      <c r="C180" t="s">
        <v>313</v>
      </c>
      <c r="D180" t="s">
        <v>363</v>
      </c>
      <c r="E180" t="s">
        <v>327</v>
      </c>
      <c r="F180" t="s">
        <v>331</v>
      </c>
      <c r="G180" t="s">
        <v>341</v>
      </c>
      <c r="H180" t="s">
        <v>358</v>
      </c>
      <c r="I180">
        <v>15</v>
      </c>
      <c r="J180">
        <v>26188</v>
      </c>
    </row>
    <row r="181" spans="1:10" x14ac:dyDescent="0.3">
      <c r="A181" t="s">
        <v>187</v>
      </c>
      <c r="B181" t="s">
        <v>558</v>
      </c>
      <c r="C181" t="s">
        <v>310</v>
      </c>
      <c r="D181" t="s">
        <v>314</v>
      </c>
      <c r="E181" t="s">
        <v>559</v>
      </c>
      <c r="F181" t="s">
        <v>332</v>
      </c>
      <c r="G181" t="s">
        <v>340</v>
      </c>
      <c r="H181" t="s">
        <v>350</v>
      </c>
      <c r="I181">
        <v>14</v>
      </c>
      <c r="J181">
        <v>10613</v>
      </c>
    </row>
    <row r="182" spans="1:10" x14ac:dyDescent="0.3">
      <c r="A182" t="s">
        <v>188</v>
      </c>
      <c r="B182" s="25">
        <v>45566</v>
      </c>
      <c r="C182" t="s">
        <v>310</v>
      </c>
      <c r="D182" t="s">
        <v>320</v>
      </c>
      <c r="E182" t="s">
        <v>328</v>
      </c>
      <c r="F182" t="s">
        <v>332</v>
      </c>
      <c r="G182" t="s">
        <v>335</v>
      </c>
      <c r="H182" t="s">
        <v>344</v>
      </c>
      <c r="I182">
        <v>6</v>
      </c>
      <c r="J182">
        <v>11708</v>
      </c>
    </row>
    <row r="183" spans="1:10" x14ac:dyDescent="0.3">
      <c r="A183" t="s">
        <v>189</v>
      </c>
      <c r="B183" s="25">
        <v>45510</v>
      </c>
      <c r="D183" t="s">
        <v>423</v>
      </c>
      <c r="E183" t="s">
        <v>330</v>
      </c>
      <c r="F183" t="s">
        <v>331</v>
      </c>
      <c r="G183" t="s">
        <v>341</v>
      </c>
      <c r="H183" t="s">
        <v>358</v>
      </c>
      <c r="I183">
        <v>2</v>
      </c>
      <c r="J183">
        <v>33994</v>
      </c>
    </row>
    <row r="184" spans="1:10" x14ac:dyDescent="0.3">
      <c r="A184" t="s">
        <v>190</v>
      </c>
      <c r="B184" t="s">
        <v>560</v>
      </c>
      <c r="C184" t="s">
        <v>310</v>
      </c>
      <c r="D184" t="s">
        <v>314</v>
      </c>
      <c r="F184" t="s">
        <v>332</v>
      </c>
      <c r="G184" t="s">
        <v>336</v>
      </c>
      <c r="H184" t="s">
        <v>346</v>
      </c>
      <c r="I184">
        <v>15</v>
      </c>
      <c r="J184">
        <v>8004</v>
      </c>
    </row>
    <row r="185" spans="1:10" x14ac:dyDescent="0.3">
      <c r="A185" t="s">
        <v>191</v>
      </c>
      <c r="B185" t="s">
        <v>561</v>
      </c>
      <c r="C185" t="s">
        <v>312</v>
      </c>
      <c r="D185" t="s">
        <v>317</v>
      </c>
      <c r="E185" t="s">
        <v>326</v>
      </c>
      <c r="F185" t="s">
        <v>331</v>
      </c>
      <c r="G185" t="s">
        <v>341</v>
      </c>
      <c r="H185" t="s">
        <v>358</v>
      </c>
      <c r="I185">
        <v>2</v>
      </c>
      <c r="J185">
        <v>34178</v>
      </c>
    </row>
    <row r="186" spans="1:10" x14ac:dyDescent="0.3">
      <c r="A186" t="s">
        <v>192</v>
      </c>
      <c r="B186" t="s">
        <v>562</v>
      </c>
      <c r="C186" t="s">
        <v>310</v>
      </c>
      <c r="D186" t="s">
        <v>322</v>
      </c>
      <c r="E186" t="s">
        <v>326</v>
      </c>
      <c r="F186" t="s">
        <v>331</v>
      </c>
      <c r="G186" t="s">
        <v>334</v>
      </c>
      <c r="H186" t="s">
        <v>353</v>
      </c>
      <c r="I186">
        <v>6</v>
      </c>
      <c r="J186">
        <v>39191</v>
      </c>
    </row>
    <row r="187" spans="1:10" x14ac:dyDescent="0.3">
      <c r="A187" t="s">
        <v>193</v>
      </c>
      <c r="B187" t="s">
        <v>563</v>
      </c>
      <c r="C187" t="s">
        <v>310</v>
      </c>
      <c r="D187" t="s">
        <v>314</v>
      </c>
      <c r="E187" t="s">
        <v>326</v>
      </c>
      <c r="F187" t="s">
        <v>332</v>
      </c>
      <c r="G187" t="s">
        <v>340</v>
      </c>
      <c r="H187" t="s">
        <v>350</v>
      </c>
      <c r="I187">
        <v>18</v>
      </c>
      <c r="J187">
        <v>11185</v>
      </c>
    </row>
    <row r="188" spans="1:10" x14ac:dyDescent="0.3">
      <c r="A188" t="s">
        <v>194</v>
      </c>
      <c r="B188" s="25">
        <v>45434</v>
      </c>
      <c r="C188" t="s">
        <v>311</v>
      </c>
      <c r="D188" t="s">
        <v>363</v>
      </c>
      <c r="E188" t="s">
        <v>329</v>
      </c>
      <c r="F188" t="s">
        <v>333</v>
      </c>
      <c r="G188" t="s">
        <v>342</v>
      </c>
      <c r="H188" t="s">
        <v>355</v>
      </c>
      <c r="I188">
        <v>5</v>
      </c>
      <c r="J188">
        <v>17203</v>
      </c>
    </row>
    <row r="189" spans="1:10" x14ac:dyDescent="0.3">
      <c r="A189" t="s">
        <v>195</v>
      </c>
      <c r="B189" t="s">
        <v>564</v>
      </c>
      <c r="C189" t="s">
        <v>313</v>
      </c>
      <c r="D189" t="s">
        <v>363</v>
      </c>
      <c r="E189" t="s">
        <v>329</v>
      </c>
      <c r="F189" t="s">
        <v>332</v>
      </c>
      <c r="G189" t="s">
        <v>336</v>
      </c>
      <c r="H189" t="s">
        <v>346</v>
      </c>
      <c r="I189">
        <v>5</v>
      </c>
      <c r="J189" t="s">
        <v>565</v>
      </c>
    </row>
    <row r="190" spans="1:10" x14ac:dyDescent="0.3">
      <c r="A190" t="s">
        <v>196</v>
      </c>
      <c r="B190" t="s">
        <v>566</v>
      </c>
      <c r="C190" t="s">
        <v>313</v>
      </c>
      <c r="D190" t="s">
        <v>324</v>
      </c>
      <c r="E190" t="s">
        <v>326</v>
      </c>
      <c r="F190" t="s">
        <v>333</v>
      </c>
      <c r="G190" t="s">
        <v>338</v>
      </c>
      <c r="H190" t="s">
        <v>348</v>
      </c>
      <c r="I190">
        <v>1</v>
      </c>
      <c r="J190">
        <v>9966</v>
      </c>
    </row>
    <row r="191" spans="1:10" x14ac:dyDescent="0.3">
      <c r="A191" t="s">
        <v>197</v>
      </c>
      <c r="B191" t="s">
        <v>567</v>
      </c>
      <c r="C191" t="s">
        <v>310</v>
      </c>
      <c r="D191" t="s">
        <v>568</v>
      </c>
      <c r="E191" t="s">
        <v>328</v>
      </c>
      <c r="F191" t="s">
        <v>331</v>
      </c>
      <c r="G191" t="s">
        <v>339</v>
      </c>
      <c r="H191" t="s">
        <v>357</v>
      </c>
      <c r="I191">
        <v>20</v>
      </c>
      <c r="J191">
        <v>13203</v>
      </c>
    </row>
    <row r="192" spans="1:10" x14ac:dyDescent="0.3">
      <c r="A192" t="s">
        <v>198</v>
      </c>
      <c r="B192" s="25">
        <v>45575</v>
      </c>
      <c r="C192" t="s">
        <v>311</v>
      </c>
      <c r="D192" t="s">
        <v>318</v>
      </c>
      <c r="E192" t="s">
        <v>326</v>
      </c>
      <c r="F192" t="s">
        <v>331</v>
      </c>
      <c r="G192" t="s">
        <v>341</v>
      </c>
      <c r="H192" t="s">
        <v>358</v>
      </c>
      <c r="I192">
        <v>13</v>
      </c>
      <c r="J192">
        <v>46830</v>
      </c>
    </row>
    <row r="193" spans="1:10" x14ac:dyDescent="0.3">
      <c r="A193" t="s">
        <v>199</v>
      </c>
      <c r="B193" t="s">
        <v>569</v>
      </c>
      <c r="C193" t="s">
        <v>310</v>
      </c>
      <c r="D193" t="s">
        <v>322</v>
      </c>
      <c r="E193" t="s">
        <v>327</v>
      </c>
      <c r="F193" t="s">
        <v>332</v>
      </c>
      <c r="G193" t="s">
        <v>335</v>
      </c>
      <c r="H193" t="s">
        <v>344</v>
      </c>
      <c r="I193">
        <v>1</v>
      </c>
      <c r="J193" t="s">
        <v>570</v>
      </c>
    </row>
    <row r="194" spans="1:10" x14ac:dyDescent="0.3">
      <c r="A194" t="s">
        <v>200</v>
      </c>
      <c r="B194" t="s">
        <v>571</v>
      </c>
      <c r="C194" t="s">
        <v>311</v>
      </c>
      <c r="D194" t="s">
        <v>413</v>
      </c>
      <c r="E194" t="s">
        <v>328</v>
      </c>
      <c r="F194" t="s">
        <v>333</v>
      </c>
      <c r="G194" t="s">
        <v>337</v>
      </c>
      <c r="H194" t="s">
        <v>347</v>
      </c>
      <c r="I194">
        <v>5</v>
      </c>
      <c r="J194">
        <v>44285</v>
      </c>
    </row>
    <row r="195" spans="1:10" x14ac:dyDescent="0.3">
      <c r="A195" t="s">
        <v>201</v>
      </c>
      <c r="B195" s="25">
        <v>45395</v>
      </c>
      <c r="C195" t="s">
        <v>312</v>
      </c>
      <c r="D195" t="s">
        <v>321</v>
      </c>
      <c r="E195" t="s">
        <v>326</v>
      </c>
      <c r="F195" t="s">
        <v>333</v>
      </c>
      <c r="G195" t="s">
        <v>342</v>
      </c>
      <c r="H195" t="s">
        <v>355</v>
      </c>
      <c r="I195">
        <v>12</v>
      </c>
      <c r="J195">
        <v>49290</v>
      </c>
    </row>
    <row r="196" spans="1:10" x14ac:dyDescent="0.3">
      <c r="A196" t="s">
        <v>202</v>
      </c>
      <c r="B196" s="25">
        <v>45470</v>
      </c>
      <c r="C196" t="s">
        <v>310</v>
      </c>
      <c r="D196" t="s">
        <v>322</v>
      </c>
      <c r="F196" t="s">
        <v>333</v>
      </c>
      <c r="G196" t="s">
        <v>337</v>
      </c>
      <c r="H196" t="s">
        <v>347</v>
      </c>
      <c r="I196">
        <v>18</v>
      </c>
      <c r="J196">
        <v>19321</v>
      </c>
    </row>
    <row r="197" spans="1:10" x14ac:dyDescent="0.3">
      <c r="A197" t="s">
        <v>203</v>
      </c>
      <c r="B197" t="s">
        <v>572</v>
      </c>
      <c r="C197" t="s">
        <v>312</v>
      </c>
      <c r="D197" t="s">
        <v>325</v>
      </c>
      <c r="E197" t="s">
        <v>329</v>
      </c>
      <c r="F197" t="s">
        <v>333</v>
      </c>
      <c r="G197" t="s">
        <v>342</v>
      </c>
      <c r="H197" t="s">
        <v>355</v>
      </c>
      <c r="I197">
        <v>20</v>
      </c>
      <c r="J197">
        <v>39036</v>
      </c>
    </row>
    <row r="198" spans="1:10" x14ac:dyDescent="0.3">
      <c r="A198" t="s">
        <v>204</v>
      </c>
      <c r="B198" t="s">
        <v>573</v>
      </c>
      <c r="C198" t="s">
        <v>312</v>
      </c>
      <c r="D198" t="s">
        <v>325</v>
      </c>
      <c r="E198" t="s">
        <v>327</v>
      </c>
      <c r="F198" t="s">
        <v>333</v>
      </c>
      <c r="G198" t="s">
        <v>338</v>
      </c>
      <c r="H198" t="s">
        <v>348</v>
      </c>
      <c r="I198">
        <v>2</v>
      </c>
      <c r="J198">
        <v>20883</v>
      </c>
    </row>
    <row r="199" spans="1:10" x14ac:dyDescent="0.3">
      <c r="A199" t="s">
        <v>205</v>
      </c>
      <c r="B199" t="s">
        <v>574</v>
      </c>
      <c r="C199" t="s">
        <v>310</v>
      </c>
      <c r="D199" t="s">
        <v>322</v>
      </c>
      <c r="E199" t="s">
        <v>328</v>
      </c>
      <c r="F199" t="s">
        <v>332</v>
      </c>
      <c r="G199" t="s">
        <v>335</v>
      </c>
      <c r="H199" t="s">
        <v>344</v>
      </c>
      <c r="I199">
        <v>8</v>
      </c>
      <c r="J199" t="s">
        <v>575</v>
      </c>
    </row>
    <row r="200" spans="1:10" x14ac:dyDescent="0.3">
      <c r="A200" t="s">
        <v>206</v>
      </c>
      <c r="B200" s="25">
        <v>45654</v>
      </c>
      <c r="C200" t="s">
        <v>310</v>
      </c>
      <c r="D200" t="s">
        <v>314</v>
      </c>
      <c r="E200" t="s">
        <v>363</v>
      </c>
      <c r="F200" t="s">
        <v>332</v>
      </c>
      <c r="G200" t="s">
        <v>340</v>
      </c>
      <c r="H200" t="s">
        <v>350</v>
      </c>
      <c r="I200">
        <v>13</v>
      </c>
      <c r="J200">
        <v>43509</v>
      </c>
    </row>
    <row r="201" spans="1:10" x14ac:dyDescent="0.3">
      <c r="A201" t="s">
        <v>207</v>
      </c>
      <c r="B201" t="s">
        <v>576</v>
      </c>
      <c r="C201" t="s">
        <v>310</v>
      </c>
      <c r="D201" t="s">
        <v>314</v>
      </c>
      <c r="E201" t="s">
        <v>330</v>
      </c>
      <c r="F201" t="s">
        <v>332</v>
      </c>
      <c r="G201" t="s">
        <v>340</v>
      </c>
      <c r="H201" t="s">
        <v>350</v>
      </c>
      <c r="I201">
        <v>19</v>
      </c>
      <c r="J201">
        <v>24975</v>
      </c>
    </row>
    <row r="202" spans="1:10" x14ac:dyDescent="0.3">
      <c r="A202" t="s">
        <v>208</v>
      </c>
      <c r="B202" t="s">
        <v>577</v>
      </c>
      <c r="C202" t="s">
        <v>311</v>
      </c>
      <c r="D202" t="s">
        <v>318</v>
      </c>
      <c r="E202" t="s">
        <v>330</v>
      </c>
      <c r="F202" t="s">
        <v>332</v>
      </c>
      <c r="G202" t="s">
        <v>335</v>
      </c>
      <c r="H202" t="s">
        <v>345</v>
      </c>
      <c r="I202">
        <v>18</v>
      </c>
      <c r="J202">
        <v>33155</v>
      </c>
    </row>
    <row r="203" spans="1:10" x14ac:dyDescent="0.3">
      <c r="A203" t="s">
        <v>209</v>
      </c>
      <c r="B203" t="s">
        <v>578</v>
      </c>
      <c r="C203" t="s">
        <v>310</v>
      </c>
      <c r="D203" t="s">
        <v>320</v>
      </c>
      <c r="E203" t="s">
        <v>329</v>
      </c>
      <c r="F203" t="s">
        <v>333</v>
      </c>
      <c r="G203" t="s">
        <v>337</v>
      </c>
      <c r="H203" t="s">
        <v>347</v>
      </c>
      <c r="I203">
        <v>16</v>
      </c>
      <c r="J203">
        <v>6604</v>
      </c>
    </row>
    <row r="204" spans="1:10" x14ac:dyDescent="0.3">
      <c r="A204" t="s">
        <v>210</v>
      </c>
      <c r="B204" t="s">
        <v>579</v>
      </c>
      <c r="C204" t="s">
        <v>310</v>
      </c>
      <c r="D204" t="s">
        <v>322</v>
      </c>
      <c r="E204" t="s">
        <v>326</v>
      </c>
      <c r="F204" t="s">
        <v>332</v>
      </c>
      <c r="G204" t="s">
        <v>335</v>
      </c>
      <c r="H204" t="s">
        <v>345</v>
      </c>
      <c r="I204">
        <v>7</v>
      </c>
      <c r="J204">
        <v>26017</v>
      </c>
    </row>
    <row r="205" spans="1:10" x14ac:dyDescent="0.3">
      <c r="A205" t="s">
        <v>211</v>
      </c>
      <c r="B205" s="25">
        <v>45313</v>
      </c>
      <c r="C205" t="s">
        <v>438</v>
      </c>
      <c r="D205" t="s">
        <v>323</v>
      </c>
      <c r="E205" t="s">
        <v>326</v>
      </c>
      <c r="F205" t="s">
        <v>331</v>
      </c>
      <c r="G205" t="s">
        <v>339</v>
      </c>
      <c r="H205" t="s">
        <v>349</v>
      </c>
      <c r="I205">
        <v>15</v>
      </c>
      <c r="J205">
        <v>12572</v>
      </c>
    </row>
    <row r="206" spans="1:10" x14ac:dyDescent="0.3">
      <c r="A206" t="s">
        <v>212</v>
      </c>
      <c r="C206" t="s">
        <v>310</v>
      </c>
      <c r="D206" t="s">
        <v>314</v>
      </c>
      <c r="E206" t="s">
        <v>329</v>
      </c>
      <c r="F206" t="s">
        <v>332</v>
      </c>
      <c r="G206" t="s">
        <v>335</v>
      </c>
      <c r="H206" t="s">
        <v>345</v>
      </c>
      <c r="I206">
        <v>7</v>
      </c>
      <c r="J206">
        <v>15451</v>
      </c>
    </row>
    <row r="207" spans="1:10" x14ac:dyDescent="0.3">
      <c r="A207" t="s">
        <v>213</v>
      </c>
      <c r="B207" t="s">
        <v>580</v>
      </c>
      <c r="C207" t="s">
        <v>313</v>
      </c>
      <c r="D207" t="s">
        <v>319</v>
      </c>
      <c r="E207" t="s">
        <v>363</v>
      </c>
      <c r="F207" t="s">
        <v>332</v>
      </c>
      <c r="G207" t="s">
        <v>335</v>
      </c>
      <c r="H207" t="s">
        <v>345</v>
      </c>
      <c r="I207">
        <v>2</v>
      </c>
      <c r="J207">
        <v>40216</v>
      </c>
    </row>
    <row r="208" spans="1:10" x14ac:dyDescent="0.3">
      <c r="A208" t="s">
        <v>214</v>
      </c>
      <c r="B208" t="s">
        <v>581</v>
      </c>
      <c r="C208" t="s">
        <v>310</v>
      </c>
      <c r="D208" t="s">
        <v>322</v>
      </c>
      <c r="E208" t="s">
        <v>328</v>
      </c>
      <c r="F208" t="s">
        <v>333</v>
      </c>
      <c r="G208" t="s">
        <v>338</v>
      </c>
      <c r="H208" t="s">
        <v>354</v>
      </c>
      <c r="I208">
        <v>3</v>
      </c>
      <c r="J208">
        <v>37256</v>
      </c>
    </row>
    <row r="209" spans="1:10" x14ac:dyDescent="0.3">
      <c r="A209" t="s">
        <v>215</v>
      </c>
      <c r="B209" t="s">
        <v>582</v>
      </c>
      <c r="C209" t="s">
        <v>311</v>
      </c>
      <c r="D209" t="s">
        <v>315</v>
      </c>
      <c r="E209" t="s">
        <v>329</v>
      </c>
      <c r="F209" t="s">
        <v>333</v>
      </c>
      <c r="G209" t="s">
        <v>337</v>
      </c>
      <c r="H209" t="s">
        <v>347</v>
      </c>
      <c r="I209">
        <v>12</v>
      </c>
      <c r="J209">
        <v>31043</v>
      </c>
    </row>
    <row r="210" spans="1:10" x14ac:dyDescent="0.3">
      <c r="A210" t="s">
        <v>216</v>
      </c>
      <c r="B210" s="25">
        <v>45447</v>
      </c>
      <c r="C210" t="s">
        <v>312</v>
      </c>
      <c r="D210" t="s">
        <v>325</v>
      </c>
      <c r="E210" t="s">
        <v>328</v>
      </c>
      <c r="F210" t="s">
        <v>333</v>
      </c>
      <c r="G210" t="s">
        <v>342</v>
      </c>
      <c r="H210" t="s">
        <v>355</v>
      </c>
      <c r="I210">
        <v>11</v>
      </c>
      <c r="J210">
        <v>9990</v>
      </c>
    </row>
    <row r="211" spans="1:10" x14ac:dyDescent="0.3">
      <c r="A211" t="s">
        <v>217</v>
      </c>
      <c r="B211" t="s">
        <v>583</v>
      </c>
      <c r="C211" t="s">
        <v>313</v>
      </c>
      <c r="D211" t="s">
        <v>323</v>
      </c>
      <c r="E211" t="s">
        <v>328</v>
      </c>
      <c r="F211" t="s">
        <v>332</v>
      </c>
      <c r="G211" t="s">
        <v>340</v>
      </c>
      <c r="H211" t="s">
        <v>350</v>
      </c>
      <c r="I211">
        <v>1</v>
      </c>
      <c r="J211">
        <v>37925</v>
      </c>
    </row>
    <row r="212" spans="1:10" x14ac:dyDescent="0.3">
      <c r="A212" t="s">
        <v>218</v>
      </c>
      <c r="B212" t="s">
        <v>584</v>
      </c>
      <c r="C212" t="s">
        <v>312</v>
      </c>
      <c r="D212" t="s">
        <v>321</v>
      </c>
      <c r="E212" t="s">
        <v>329</v>
      </c>
      <c r="F212" t="s">
        <v>332</v>
      </c>
      <c r="G212" t="s">
        <v>336</v>
      </c>
      <c r="H212" t="s">
        <v>346</v>
      </c>
      <c r="I212">
        <v>11</v>
      </c>
      <c r="J212">
        <v>24339</v>
      </c>
    </row>
    <row r="213" spans="1:10" x14ac:dyDescent="0.3">
      <c r="A213" t="s">
        <v>219</v>
      </c>
      <c r="B213" t="s">
        <v>585</v>
      </c>
      <c r="C213" t="s">
        <v>312</v>
      </c>
      <c r="D213" t="s">
        <v>363</v>
      </c>
      <c r="E213" t="s">
        <v>327</v>
      </c>
      <c r="F213" t="s">
        <v>333</v>
      </c>
      <c r="G213" t="s">
        <v>337</v>
      </c>
      <c r="H213" t="s">
        <v>347</v>
      </c>
      <c r="I213">
        <v>18</v>
      </c>
      <c r="J213">
        <v>29442</v>
      </c>
    </row>
    <row r="214" spans="1:10" x14ac:dyDescent="0.3">
      <c r="A214" t="s">
        <v>220</v>
      </c>
      <c r="B214" s="25">
        <v>45458</v>
      </c>
      <c r="C214" t="s">
        <v>313</v>
      </c>
      <c r="D214" t="s">
        <v>319</v>
      </c>
      <c r="E214" t="s">
        <v>329</v>
      </c>
      <c r="F214" t="s">
        <v>332</v>
      </c>
      <c r="G214" t="s">
        <v>335</v>
      </c>
      <c r="H214" t="s">
        <v>344</v>
      </c>
      <c r="I214">
        <v>7</v>
      </c>
      <c r="J214">
        <v>9777</v>
      </c>
    </row>
    <row r="215" spans="1:10" x14ac:dyDescent="0.3">
      <c r="A215" t="s">
        <v>221</v>
      </c>
      <c r="B215" t="s">
        <v>586</v>
      </c>
      <c r="C215" t="s">
        <v>310</v>
      </c>
      <c r="D215" t="s">
        <v>314</v>
      </c>
      <c r="E215" t="s">
        <v>326</v>
      </c>
      <c r="F215" t="s">
        <v>331</v>
      </c>
      <c r="G215" t="s">
        <v>334</v>
      </c>
      <c r="H215" t="s">
        <v>353</v>
      </c>
      <c r="I215">
        <v>12</v>
      </c>
      <c r="J215">
        <v>22575</v>
      </c>
    </row>
    <row r="216" spans="1:10" x14ac:dyDescent="0.3">
      <c r="A216" t="s">
        <v>222</v>
      </c>
      <c r="B216" t="s">
        <v>587</v>
      </c>
      <c r="C216" t="s">
        <v>313</v>
      </c>
      <c r="D216" t="s">
        <v>319</v>
      </c>
      <c r="E216" t="s">
        <v>330</v>
      </c>
      <c r="F216" t="s">
        <v>333</v>
      </c>
      <c r="G216" t="s">
        <v>342</v>
      </c>
      <c r="H216" t="s">
        <v>352</v>
      </c>
      <c r="I216">
        <v>9</v>
      </c>
      <c r="J216">
        <v>49653</v>
      </c>
    </row>
    <row r="217" spans="1:10" x14ac:dyDescent="0.3">
      <c r="A217" t="s">
        <v>223</v>
      </c>
      <c r="B217" t="s">
        <v>588</v>
      </c>
      <c r="C217" t="s">
        <v>311</v>
      </c>
      <c r="D217" t="s">
        <v>318</v>
      </c>
      <c r="E217" t="s">
        <v>330</v>
      </c>
      <c r="F217" t="s">
        <v>333</v>
      </c>
      <c r="G217" t="s">
        <v>337</v>
      </c>
      <c r="H217" t="s">
        <v>347</v>
      </c>
      <c r="I217">
        <v>9</v>
      </c>
      <c r="J217">
        <v>27318</v>
      </c>
    </row>
    <row r="218" spans="1:10" x14ac:dyDescent="0.3">
      <c r="A218" t="s">
        <v>224</v>
      </c>
      <c r="B218" s="25">
        <v>45412</v>
      </c>
      <c r="C218" t="s">
        <v>312</v>
      </c>
      <c r="D218" t="s">
        <v>363</v>
      </c>
      <c r="E218" t="s">
        <v>330</v>
      </c>
      <c r="F218" t="s">
        <v>333</v>
      </c>
      <c r="G218" t="s">
        <v>337</v>
      </c>
      <c r="H218" t="s">
        <v>347</v>
      </c>
      <c r="I218" t="s">
        <v>589</v>
      </c>
      <c r="J218">
        <v>18361</v>
      </c>
    </row>
    <row r="219" spans="1:10" x14ac:dyDescent="0.3">
      <c r="A219" t="s">
        <v>225</v>
      </c>
      <c r="B219" t="s">
        <v>590</v>
      </c>
      <c r="C219" t="s">
        <v>311</v>
      </c>
      <c r="D219" t="s">
        <v>315</v>
      </c>
      <c r="E219" t="s">
        <v>328</v>
      </c>
      <c r="F219" t="s">
        <v>332</v>
      </c>
      <c r="G219" t="s">
        <v>336</v>
      </c>
      <c r="H219" t="s">
        <v>346</v>
      </c>
      <c r="I219">
        <v>3</v>
      </c>
      <c r="J219">
        <v>36291</v>
      </c>
    </row>
    <row r="220" spans="1:10" x14ac:dyDescent="0.3">
      <c r="A220" t="s">
        <v>226</v>
      </c>
      <c r="B220" s="25">
        <v>45310</v>
      </c>
      <c r="C220" t="s">
        <v>313</v>
      </c>
      <c r="D220" t="s">
        <v>324</v>
      </c>
      <c r="E220" t="s">
        <v>591</v>
      </c>
      <c r="F220" t="s">
        <v>333</v>
      </c>
      <c r="G220" t="s">
        <v>337</v>
      </c>
      <c r="H220" t="s">
        <v>347</v>
      </c>
      <c r="I220">
        <v>12</v>
      </c>
      <c r="J220" t="s">
        <v>592</v>
      </c>
    </row>
    <row r="221" spans="1:10" x14ac:dyDescent="0.3">
      <c r="A221" t="s">
        <v>227</v>
      </c>
      <c r="B221" s="25">
        <v>45577</v>
      </c>
      <c r="C221" t="s">
        <v>312</v>
      </c>
      <c r="D221" t="s">
        <v>321</v>
      </c>
      <c r="E221" t="s">
        <v>327</v>
      </c>
      <c r="F221" t="s">
        <v>333</v>
      </c>
      <c r="G221" t="s">
        <v>338</v>
      </c>
      <c r="H221" t="s">
        <v>354</v>
      </c>
      <c r="I221">
        <v>19</v>
      </c>
      <c r="J221">
        <v>46210</v>
      </c>
    </row>
    <row r="222" spans="1:10" x14ac:dyDescent="0.3">
      <c r="A222" t="s">
        <v>228</v>
      </c>
      <c r="B222" s="25">
        <v>45592</v>
      </c>
      <c r="C222" t="s">
        <v>311</v>
      </c>
      <c r="D222" t="s">
        <v>315</v>
      </c>
      <c r="E222" t="s">
        <v>330</v>
      </c>
      <c r="F222" t="s">
        <v>331</v>
      </c>
      <c r="G222" t="s">
        <v>339</v>
      </c>
      <c r="H222" t="s">
        <v>357</v>
      </c>
      <c r="I222">
        <v>19</v>
      </c>
      <c r="J222">
        <v>33376</v>
      </c>
    </row>
    <row r="223" spans="1:10" x14ac:dyDescent="0.3">
      <c r="A223" t="s">
        <v>229</v>
      </c>
      <c r="B223" t="s">
        <v>593</v>
      </c>
      <c r="C223" t="s">
        <v>312</v>
      </c>
      <c r="D223" t="s">
        <v>325</v>
      </c>
      <c r="E223" t="s">
        <v>329</v>
      </c>
      <c r="F223" t="s">
        <v>333</v>
      </c>
      <c r="G223" t="s">
        <v>338</v>
      </c>
      <c r="H223" t="s">
        <v>354</v>
      </c>
      <c r="I223">
        <v>15</v>
      </c>
      <c r="J223">
        <v>22149</v>
      </c>
    </row>
    <row r="224" spans="1:10" x14ac:dyDescent="0.3">
      <c r="A224" t="s">
        <v>230</v>
      </c>
      <c r="B224" s="25">
        <v>45542</v>
      </c>
      <c r="C224" t="s">
        <v>313</v>
      </c>
      <c r="D224" t="s">
        <v>454</v>
      </c>
      <c r="E224" t="s">
        <v>327</v>
      </c>
      <c r="F224" t="s">
        <v>332</v>
      </c>
      <c r="G224" t="s">
        <v>335</v>
      </c>
      <c r="H224" t="s">
        <v>344</v>
      </c>
      <c r="I224">
        <v>6</v>
      </c>
      <c r="J224">
        <v>16801</v>
      </c>
    </row>
    <row r="225" spans="1:10" x14ac:dyDescent="0.3">
      <c r="A225" t="s">
        <v>231</v>
      </c>
      <c r="B225" t="s">
        <v>594</v>
      </c>
      <c r="C225" t="s">
        <v>312</v>
      </c>
      <c r="D225" t="s">
        <v>321</v>
      </c>
      <c r="E225" t="s">
        <v>327</v>
      </c>
      <c r="F225" t="s">
        <v>331</v>
      </c>
      <c r="G225" t="s">
        <v>339</v>
      </c>
      <c r="H225" t="s">
        <v>349</v>
      </c>
      <c r="I225">
        <v>17</v>
      </c>
      <c r="J225">
        <v>13323</v>
      </c>
    </row>
    <row r="226" spans="1:10" x14ac:dyDescent="0.3">
      <c r="A226" t="s">
        <v>232</v>
      </c>
      <c r="B226" t="s">
        <v>595</v>
      </c>
      <c r="C226" t="s">
        <v>310</v>
      </c>
      <c r="D226" t="s">
        <v>568</v>
      </c>
      <c r="E226" t="s">
        <v>329</v>
      </c>
      <c r="F226" t="s">
        <v>333</v>
      </c>
      <c r="G226" t="s">
        <v>342</v>
      </c>
      <c r="H226" t="s">
        <v>355</v>
      </c>
      <c r="I226">
        <v>11</v>
      </c>
      <c r="J226">
        <v>25888</v>
      </c>
    </row>
    <row r="227" spans="1:10" x14ac:dyDescent="0.3">
      <c r="A227" t="s">
        <v>233</v>
      </c>
      <c r="B227" t="s">
        <v>596</v>
      </c>
      <c r="C227" t="s">
        <v>312</v>
      </c>
      <c r="D227" t="s">
        <v>321</v>
      </c>
      <c r="E227" t="s">
        <v>597</v>
      </c>
      <c r="F227" t="s">
        <v>332</v>
      </c>
      <c r="G227" t="s">
        <v>335</v>
      </c>
      <c r="H227" t="s">
        <v>344</v>
      </c>
      <c r="I227">
        <v>10</v>
      </c>
      <c r="J227">
        <v>38293</v>
      </c>
    </row>
    <row r="228" spans="1:10" x14ac:dyDescent="0.3">
      <c r="A228" t="s">
        <v>234</v>
      </c>
      <c r="B228" t="s">
        <v>598</v>
      </c>
      <c r="C228" t="s">
        <v>311</v>
      </c>
      <c r="D228" t="s">
        <v>318</v>
      </c>
      <c r="F228" t="s">
        <v>333</v>
      </c>
      <c r="G228" t="s">
        <v>338</v>
      </c>
      <c r="H228" t="s">
        <v>354</v>
      </c>
      <c r="I228">
        <v>4</v>
      </c>
      <c r="J228">
        <v>43398</v>
      </c>
    </row>
    <row r="229" spans="1:10" x14ac:dyDescent="0.3">
      <c r="A229" t="s">
        <v>235</v>
      </c>
      <c r="B229" s="25">
        <v>45329</v>
      </c>
      <c r="C229" t="s">
        <v>311</v>
      </c>
      <c r="D229" t="s">
        <v>318</v>
      </c>
      <c r="E229" t="s">
        <v>326</v>
      </c>
      <c r="F229" t="s">
        <v>332</v>
      </c>
      <c r="G229" t="s">
        <v>340</v>
      </c>
      <c r="H229" t="s">
        <v>350</v>
      </c>
      <c r="I229">
        <v>7</v>
      </c>
      <c r="J229">
        <v>46181</v>
      </c>
    </row>
    <row r="230" spans="1:10" x14ac:dyDescent="0.3">
      <c r="A230" t="s">
        <v>236</v>
      </c>
      <c r="B230" t="s">
        <v>599</v>
      </c>
      <c r="C230" t="s">
        <v>311</v>
      </c>
      <c r="D230" t="s">
        <v>318</v>
      </c>
      <c r="E230" t="s">
        <v>328</v>
      </c>
      <c r="F230" t="s">
        <v>332</v>
      </c>
      <c r="G230" t="s">
        <v>336</v>
      </c>
      <c r="H230" t="s">
        <v>346</v>
      </c>
      <c r="I230">
        <v>15</v>
      </c>
      <c r="J230">
        <v>39765</v>
      </c>
    </row>
    <row r="231" spans="1:10" x14ac:dyDescent="0.3">
      <c r="A231" t="s">
        <v>237</v>
      </c>
      <c r="B231" t="s">
        <v>600</v>
      </c>
      <c r="C231" t="s">
        <v>311</v>
      </c>
      <c r="D231" t="s">
        <v>315</v>
      </c>
      <c r="E231" t="s">
        <v>326</v>
      </c>
      <c r="F231" t="s">
        <v>333</v>
      </c>
      <c r="G231" t="s">
        <v>337</v>
      </c>
      <c r="H231" t="s">
        <v>347</v>
      </c>
      <c r="I231">
        <v>20</v>
      </c>
      <c r="J231">
        <v>35570</v>
      </c>
    </row>
    <row r="232" spans="1:10" x14ac:dyDescent="0.3">
      <c r="A232" t="s">
        <v>238</v>
      </c>
      <c r="B232" t="s">
        <v>601</v>
      </c>
      <c r="C232" t="s">
        <v>313</v>
      </c>
      <c r="D232" t="s">
        <v>324</v>
      </c>
      <c r="E232" t="s">
        <v>326</v>
      </c>
      <c r="F232" t="s">
        <v>333</v>
      </c>
      <c r="G232" t="s">
        <v>342</v>
      </c>
      <c r="H232" t="s">
        <v>352</v>
      </c>
      <c r="I232">
        <v>12</v>
      </c>
      <c r="J232">
        <v>15413</v>
      </c>
    </row>
    <row r="233" spans="1:10" x14ac:dyDescent="0.3">
      <c r="A233" t="s">
        <v>239</v>
      </c>
      <c r="B233" s="25">
        <v>45648</v>
      </c>
      <c r="C233" t="s">
        <v>311</v>
      </c>
      <c r="D233" t="s">
        <v>315</v>
      </c>
      <c r="E233" t="s">
        <v>433</v>
      </c>
      <c r="F233" t="s">
        <v>332</v>
      </c>
      <c r="G233" t="s">
        <v>340</v>
      </c>
      <c r="H233" t="s">
        <v>350</v>
      </c>
      <c r="I233">
        <v>13</v>
      </c>
      <c r="J233">
        <v>28862</v>
      </c>
    </row>
    <row r="234" spans="1:10" x14ac:dyDescent="0.3">
      <c r="A234" t="s">
        <v>240</v>
      </c>
      <c r="B234" t="s">
        <v>602</v>
      </c>
      <c r="C234" t="s">
        <v>312</v>
      </c>
      <c r="D234" t="s">
        <v>325</v>
      </c>
      <c r="E234" t="s">
        <v>328</v>
      </c>
      <c r="F234" t="s">
        <v>331</v>
      </c>
      <c r="G234" t="s">
        <v>334</v>
      </c>
      <c r="H234" t="s">
        <v>343</v>
      </c>
      <c r="I234">
        <v>2</v>
      </c>
      <c r="J234" t="s">
        <v>603</v>
      </c>
    </row>
    <row r="235" spans="1:10" x14ac:dyDescent="0.3">
      <c r="A235" t="s">
        <v>241</v>
      </c>
      <c r="B235" t="s">
        <v>604</v>
      </c>
      <c r="C235" t="s">
        <v>311</v>
      </c>
      <c r="D235" t="s">
        <v>315</v>
      </c>
      <c r="E235" t="s">
        <v>327</v>
      </c>
      <c r="F235" t="s">
        <v>333</v>
      </c>
      <c r="G235" t="s">
        <v>338</v>
      </c>
      <c r="H235" t="s">
        <v>348</v>
      </c>
      <c r="I235">
        <v>7</v>
      </c>
      <c r="J235">
        <v>47162</v>
      </c>
    </row>
    <row r="236" spans="1:10" x14ac:dyDescent="0.3">
      <c r="A236" t="s">
        <v>242</v>
      </c>
      <c r="B236" t="s">
        <v>605</v>
      </c>
      <c r="C236" t="s">
        <v>312</v>
      </c>
      <c r="D236" t="s">
        <v>317</v>
      </c>
      <c r="E236" t="s">
        <v>470</v>
      </c>
      <c r="F236" t="s">
        <v>331</v>
      </c>
      <c r="G236" t="s">
        <v>341</v>
      </c>
      <c r="H236" t="s">
        <v>358</v>
      </c>
      <c r="I236">
        <v>14</v>
      </c>
      <c r="J236">
        <v>40008</v>
      </c>
    </row>
    <row r="237" spans="1:10" x14ac:dyDescent="0.3">
      <c r="A237" t="s">
        <v>243</v>
      </c>
      <c r="B237" s="25">
        <v>45550</v>
      </c>
      <c r="C237" t="s">
        <v>313</v>
      </c>
      <c r="D237" t="s">
        <v>323</v>
      </c>
      <c r="E237" t="s">
        <v>328</v>
      </c>
      <c r="F237" t="s">
        <v>331</v>
      </c>
      <c r="G237" t="s">
        <v>341</v>
      </c>
      <c r="H237" t="s">
        <v>358</v>
      </c>
      <c r="I237">
        <v>12</v>
      </c>
      <c r="J237">
        <v>20025</v>
      </c>
    </row>
    <row r="238" spans="1:10" x14ac:dyDescent="0.3">
      <c r="A238" t="s">
        <v>244</v>
      </c>
      <c r="B238" t="s">
        <v>606</v>
      </c>
      <c r="C238" t="s">
        <v>313</v>
      </c>
      <c r="D238" t="s">
        <v>324</v>
      </c>
      <c r="E238" t="s">
        <v>330</v>
      </c>
      <c r="F238" t="s">
        <v>333</v>
      </c>
      <c r="G238" t="s">
        <v>337</v>
      </c>
      <c r="H238" t="s">
        <v>347</v>
      </c>
      <c r="I238">
        <v>14</v>
      </c>
      <c r="J238">
        <v>15378</v>
      </c>
    </row>
    <row r="239" spans="1:10" x14ac:dyDescent="0.3">
      <c r="A239" t="s">
        <v>245</v>
      </c>
      <c r="B239" t="s">
        <v>607</v>
      </c>
      <c r="C239" t="s">
        <v>312</v>
      </c>
      <c r="D239" t="s">
        <v>325</v>
      </c>
      <c r="E239" t="s">
        <v>326</v>
      </c>
      <c r="F239" t="s">
        <v>331</v>
      </c>
      <c r="G239" t="s">
        <v>341</v>
      </c>
      <c r="H239" t="s">
        <v>358</v>
      </c>
      <c r="I239">
        <v>13</v>
      </c>
      <c r="J239">
        <v>13972</v>
      </c>
    </row>
    <row r="240" spans="1:10" x14ac:dyDescent="0.3">
      <c r="A240" t="s">
        <v>246</v>
      </c>
      <c r="B240" t="s">
        <v>608</v>
      </c>
      <c r="C240" t="s">
        <v>310</v>
      </c>
      <c r="D240" t="s">
        <v>314</v>
      </c>
      <c r="E240" t="s">
        <v>329</v>
      </c>
      <c r="F240" t="s">
        <v>333</v>
      </c>
      <c r="G240" t="s">
        <v>337</v>
      </c>
      <c r="H240" t="s">
        <v>347</v>
      </c>
      <c r="I240">
        <v>15</v>
      </c>
      <c r="J240">
        <v>32831</v>
      </c>
    </row>
    <row r="241" spans="1:10" x14ac:dyDescent="0.3">
      <c r="A241" t="s">
        <v>247</v>
      </c>
      <c r="B241" s="25">
        <v>45515</v>
      </c>
      <c r="C241" t="s">
        <v>310</v>
      </c>
      <c r="D241" t="s">
        <v>314</v>
      </c>
      <c r="E241" t="s">
        <v>328</v>
      </c>
      <c r="F241" t="s">
        <v>331</v>
      </c>
      <c r="G241" t="s">
        <v>339</v>
      </c>
      <c r="H241" t="s">
        <v>356</v>
      </c>
      <c r="I241">
        <v>11</v>
      </c>
      <c r="J241">
        <v>33833</v>
      </c>
    </row>
    <row r="242" spans="1:10" x14ac:dyDescent="0.3">
      <c r="A242" t="s">
        <v>248</v>
      </c>
      <c r="B242" t="s">
        <v>609</v>
      </c>
      <c r="C242" t="s">
        <v>311</v>
      </c>
      <c r="D242" t="s">
        <v>316</v>
      </c>
      <c r="E242" t="s">
        <v>329</v>
      </c>
      <c r="F242" t="s">
        <v>332</v>
      </c>
      <c r="G242" t="s">
        <v>335</v>
      </c>
      <c r="H242" t="s">
        <v>345</v>
      </c>
      <c r="I242">
        <v>14</v>
      </c>
      <c r="J242">
        <v>940</v>
      </c>
    </row>
    <row r="243" spans="1:10" x14ac:dyDescent="0.3">
      <c r="A243" t="s">
        <v>249</v>
      </c>
      <c r="B243" t="s">
        <v>610</v>
      </c>
      <c r="C243" t="s">
        <v>313</v>
      </c>
      <c r="D243" t="s">
        <v>323</v>
      </c>
      <c r="E243" t="s">
        <v>330</v>
      </c>
      <c r="F243" t="s">
        <v>332</v>
      </c>
      <c r="G243" t="s">
        <v>340</v>
      </c>
      <c r="H243" t="s">
        <v>350</v>
      </c>
      <c r="I243">
        <v>20</v>
      </c>
      <c r="J243">
        <v>49214</v>
      </c>
    </row>
    <row r="244" spans="1:10" x14ac:dyDescent="0.3">
      <c r="A244" t="s">
        <v>250</v>
      </c>
      <c r="B244" t="s">
        <v>611</v>
      </c>
      <c r="C244" t="s">
        <v>313</v>
      </c>
      <c r="D244" t="s">
        <v>324</v>
      </c>
      <c r="E244" t="s">
        <v>328</v>
      </c>
      <c r="F244" t="s">
        <v>333</v>
      </c>
      <c r="G244" t="s">
        <v>342</v>
      </c>
      <c r="H244" t="s">
        <v>352</v>
      </c>
      <c r="I244">
        <v>17</v>
      </c>
      <c r="J244">
        <v>33897</v>
      </c>
    </row>
    <row r="245" spans="1:10" x14ac:dyDescent="0.3">
      <c r="A245" t="s">
        <v>251</v>
      </c>
      <c r="B245" t="s">
        <v>612</v>
      </c>
      <c r="C245" t="s">
        <v>310</v>
      </c>
      <c r="D245" t="s">
        <v>322</v>
      </c>
      <c r="E245" t="s">
        <v>327</v>
      </c>
      <c r="F245" t="s">
        <v>333</v>
      </c>
      <c r="G245" t="s">
        <v>342</v>
      </c>
      <c r="H245" t="s">
        <v>352</v>
      </c>
      <c r="I245">
        <v>2</v>
      </c>
      <c r="J245">
        <v>27917</v>
      </c>
    </row>
    <row r="246" spans="1:10" x14ac:dyDescent="0.3">
      <c r="A246" t="s">
        <v>252</v>
      </c>
      <c r="B246" s="25">
        <v>45567</v>
      </c>
      <c r="C246" t="s">
        <v>547</v>
      </c>
      <c r="D246" t="s">
        <v>321</v>
      </c>
      <c r="E246" t="s">
        <v>329</v>
      </c>
      <c r="F246" t="s">
        <v>331</v>
      </c>
      <c r="G246" t="s">
        <v>339</v>
      </c>
      <c r="H246" t="s">
        <v>357</v>
      </c>
      <c r="I246">
        <v>11</v>
      </c>
      <c r="J246">
        <v>1428</v>
      </c>
    </row>
    <row r="247" spans="1:10" x14ac:dyDescent="0.3">
      <c r="A247" t="s">
        <v>253</v>
      </c>
      <c r="B247" t="s">
        <v>613</v>
      </c>
      <c r="C247" t="s">
        <v>312</v>
      </c>
      <c r="D247" t="s">
        <v>325</v>
      </c>
      <c r="E247" t="s">
        <v>329</v>
      </c>
      <c r="F247" t="s">
        <v>331</v>
      </c>
      <c r="G247" t="s">
        <v>334</v>
      </c>
      <c r="H247" t="s">
        <v>343</v>
      </c>
      <c r="I247">
        <v>19</v>
      </c>
      <c r="J247">
        <v>36288</v>
      </c>
    </row>
    <row r="248" spans="1:10" x14ac:dyDescent="0.3">
      <c r="A248" t="s">
        <v>254</v>
      </c>
      <c r="B248" t="s">
        <v>614</v>
      </c>
      <c r="C248" t="s">
        <v>313</v>
      </c>
      <c r="D248" t="s">
        <v>323</v>
      </c>
      <c r="E248" t="s">
        <v>330</v>
      </c>
      <c r="F248" t="s">
        <v>331</v>
      </c>
      <c r="G248" t="s">
        <v>339</v>
      </c>
      <c r="H248" t="s">
        <v>356</v>
      </c>
      <c r="I248">
        <v>18</v>
      </c>
      <c r="J248">
        <v>46111</v>
      </c>
    </row>
    <row r="249" spans="1:10" x14ac:dyDescent="0.3">
      <c r="A249" t="s">
        <v>255</v>
      </c>
      <c r="B249" t="s">
        <v>615</v>
      </c>
      <c r="C249" t="s">
        <v>616</v>
      </c>
      <c r="D249" t="s">
        <v>315</v>
      </c>
      <c r="E249" t="s">
        <v>617</v>
      </c>
      <c r="F249" t="s">
        <v>333</v>
      </c>
      <c r="G249" t="s">
        <v>338</v>
      </c>
      <c r="H249" t="s">
        <v>348</v>
      </c>
      <c r="I249">
        <v>19</v>
      </c>
      <c r="J249">
        <v>12327</v>
      </c>
    </row>
    <row r="250" spans="1:10" x14ac:dyDescent="0.3">
      <c r="A250" t="s">
        <v>256</v>
      </c>
      <c r="B250" s="25">
        <v>45447</v>
      </c>
      <c r="C250" t="s">
        <v>427</v>
      </c>
      <c r="D250" t="s">
        <v>321</v>
      </c>
      <c r="E250" t="s">
        <v>327</v>
      </c>
      <c r="F250" t="s">
        <v>331</v>
      </c>
      <c r="G250" t="s">
        <v>339</v>
      </c>
      <c r="H250" t="s">
        <v>357</v>
      </c>
      <c r="I250">
        <v>2</v>
      </c>
      <c r="J250">
        <v>20769</v>
      </c>
    </row>
    <row r="251" spans="1:10" x14ac:dyDescent="0.3">
      <c r="A251" t="s">
        <v>257</v>
      </c>
      <c r="B251" t="s">
        <v>618</v>
      </c>
      <c r="C251" t="s">
        <v>421</v>
      </c>
      <c r="D251" t="s">
        <v>322</v>
      </c>
      <c r="E251" t="s">
        <v>329</v>
      </c>
      <c r="F251" t="s">
        <v>333</v>
      </c>
      <c r="G251" t="s">
        <v>342</v>
      </c>
      <c r="H251" t="s">
        <v>352</v>
      </c>
      <c r="I251">
        <v>12</v>
      </c>
      <c r="J251">
        <v>4021</v>
      </c>
    </row>
    <row r="252" spans="1:10" x14ac:dyDescent="0.3">
      <c r="A252" t="s">
        <v>258</v>
      </c>
      <c r="B252" t="s">
        <v>619</v>
      </c>
      <c r="C252" t="s">
        <v>312</v>
      </c>
      <c r="D252" t="s">
        <v>317</v>
      </c>
      <c r="E252" t="s">
        <v>327</v>
      </c>
      <c r="F252" t="s">
        <v>331</v>
      </c>
      <c r="G252" t="s">
        <v>339</v>
      </c>
      <c r="H252" t="s">
        <v>349</v>
      </c>
      <c r="I252" t="s">
        <v>620</v>
      </c>
      <c r="J252">
        <v>13462</v>
      </c>
    </row>
    <row r="253" spans="1:10" x14ac:dyDescent="0.3">
      <c r="A253" t="s">
        <v>259</v>
      </c>
      <c r="B253" t="s">
        <v>621</v>
      </c>
      <c r="C253" t="s">
        <v>312</v>
      </c>
      <c r="D253" t="s">
        <v>325</v>
      </c>
      <c r="E253" t="s">
        <v>329</v>
      </c>
      <c r="F253" t="s">
        <v>332</v>
      </c>
      <c r="G253" t="s">
        <v>335</v>
      </c>
      <c r="H253" t="s">
        <v>344</v>
      </c>
      <c r="I253">
        <v>9</v>
      </c>
      <c r="J253">
        <v>34751</v>
      </c>
    </row>
    <row r="254" spans="1:10" x14ac:dyDescent="0.3">
      <c r="A254" t="s">
        <v>260</v>
      </c>
      <c r="B254" t="s">
        <v>622</v>
      </c>
      <c r="C254" t="s">
        <v>311</v>
      </c>
      <c r="D254" t="s">
        <v>315</v>
      </c>
      <c r="E254" t="s">
        <v>329</v>
      </c>
      <c r="F254" t="s">
        <v>332</v>
      </c>
      <c r="G254" t="s">
        <v>335</v>
      </c>
      <c r="H254" t="s">
        <v>345</v>
      </c>
      <c r="I254">
        <v>12</v>
      </c>
      <c r="J254">
        <v>23611</v>
      </c>
    </row>
    <row r="256" spans="1:10" x14ac:dyDescent="0.3">
      <c r="A256" t="s">
        <v>261</v>
      </c>
      <c r="B256" s="25">
        <v>45337</v>
      </c>
      <c r="C256" t="s">
        <v>311</v>
      </c>
      <c r="D256" t="s">
        <v>318</v>
      </c>
      <c r="E256" t="s">
        <v>326</v>
      </c>
      <c r="F256" t="s">
        <v>332</v>
      </c>
      <c r="G256" t="s">
        <v>340</v>
      </c>
      <c r="H256" t="s">
        <v>350</v>
      </c>
      <c r="I256">
        <v>8</v>
      </c>
      <c r="J256">
        <v>32269</v>
      </c>
    </row>
    <row r="257" spans="1:10" x14ac:dyDescent="0.3">
      <c r="A257" t="s">
        <v>262</v>
      </c>
      <c r="B257" s="25">
        <v>45414</v>
      </c>
      <c r="C257" t="s">
        <v>313</v>
      </c>
      <c r="D257" t="s">
        <v>323</v>
      </c>
      <c r="E257" t="s">
        <v>623</v>
      </c>
      <c r="F257" t="s">
        <v>332</v>
      </c>
      <c r="G257" t="s">
        <v>336</v>
      </c>
      <c r="H257" t="s">
        <v>346</v>
      </c>
      <c r="I257">
        <v>14</v>
      </c>
      <c r="J257">
        <v>18348</v>
      </c>
    </row>
    <row r="258" spans="1:10" x14ac:dyDescent="0.3">
      <c r="A258" t="s">
        <v>263</v>
      </c>
      <c r="B258" s="25">
        <v>45478</v>
      </c>
      <c r="C258" t="s">
        <v>313</v>
      </c>
      <c r="D258" t="s">
        <v>324</v>
      </c>
      <c r="E258" t="s">
        <v>329</v>
      </c>
      <c r="F258" t="s">
        <v>333</v>
      </c>
      <c r="G258" t="s">
        <v>338</v>
      </c>
      <c r="H258" t="s">
        <v>348</v>
      </c>
      <c r="I258">
        <v>11</v>
      </c>
      <c r="J258">
        <v>26155</v>
      </c>
    </row>
    <row r="259" spans="1:10" x14ac:dyDescent="0.3">
      <c r="A259" t="s">
        <v>264</v>
      </c>
      <c r="B259" t="s">
        <v>624</v>
      </c>
      <c r="C259" t="s">
        <v>311</v>
      </c>
      <c r="D259" t="s">
        <v>318</v>
      </c>
      <c r="E259" t="s">
        <v>559</v>
      </c>
      <c r="F259" t="s">
        <v>331</v>
      </c>
      <c r="G259" t="s">
        <v>334</v>
      </c>
      <c r="H259" t="s">
        <v>343</v>
      </c>
      <c r="I259">
        <v>10</v>
      </c>
      <c r="J259">
        <v>37346</v>
      </c>
    </row>
    <row r="260" spans="1:10" x14ac:dyDescent="0.3">
      <c r="A260" t="s">
        <v>265</v>
      </c>
      <c r="B260" s="25">
        <v>45377</v>
      </c>
      <c r="C260" t="s">
        <v>310</v>
      </c>
      <c r="D260" t="s">
        <v>314</v>
      </c>
      <c r="E260" t="s">
        <v>326</v>
      </c>
      <c r="F260" t="s">
        <v>332</v>
      </c>
      <c r="G260" t="s">
        <v>336</v>
      </c>
      <c r="H260" t="s">
        <v>346</v>
      </c>
      <c r="I260">
        <v>5</v>
      </c>
      <c r="J260">
        <v>9059</v>
      </c>
    </row>
    <row r="261" spans="1:10" x14ac:dyDescent="0.3">
      <c r="A261" t="s">
        <v>266</v>
      </c>
      <c r="B261" t="s">
        <v>625</v>
      </c>
      <c r="D261" t="s">
        <v>322</v>
      </c>
      <c r="E261" t="s">
        <v>329</v>
      </c>
      <c r="F261" t="s">
        <v>332</v>
      </c>
      <c r="G261" t="s">
        <v>340</v>
      </c>
      <c r="H261" t="s">
        <v>350</v>
      </c>
      <c r="I261">
        <v>6</v>
      </c>
      <c r="J261">
        <v>18371</v>
      </c>
    </row>
    <row r="262" spans="1:10" x14ac:dyDescent="0.3">
      <c r="A262" t="s">
        <v>267</v>
      </c>
      <c r="B262" t="s">
        <v>626</v>
      </c>
      <c r="C262" t="s">
        <v>311</v>
      </c>
      <c r="D262" t="s">
        <v>316</v>
      </c>
      <c r="E262" t="s">
        <v>329</v>
      </c>
      <c r="F262" t="s">
        <v>331</v>
      </c>
      <c r="G262" t="s">
        <v>334</v>
      </c>
      <c r="H262" t="s">
        <v>343</v>
      </c>
      <c r="I262">
        <v>15</v>
      </c>
      <c r="J262">
        <v>7240</v>
      </c>
    </row>
    <row r="263" spans="1:10" x14ac:dyDescent="0.3">
      <c r="A263" t="s">
        <v>268</v>
      </c>
      <c r="B263" t="s">
        <v>497</v>
      </c>
      <c r="C263" t="s">
        <v>310</v>
      </c>
      <c r="D263" t="s">
        <v>314</v>
      </c>
      <c r="F263" t="s">
        <v>333</v>
      </c>
      <c r="G263" t="s">
        <v>342</v>
      </c>
      <c r="H263" t="s">
        <v>352</v>
      </c>
      <c r="I263">
        <v>2</v>
      </c>
      <c r="J263">
        <v>3271</v>
      </c>
    </row>
    <row r="264" spans="1:10" x14ac:dyDescent="0.3">
      <c r="A264" t="s">
        <v>269</v>
      </c>
      <c r="B264" t="s">
        <v>595</v>
      </c>
      <c r="C264" t="s">
        <v>310</v>
      </c>
      <c r="D264" t="s">
        <v>314</v>
      </c>
      <c r="E264" t="s">
        <v>329</v>
      </c>
      <c r="F264" t="s">
        <v>333</v>
      </c>
      <c r="G264" t="s">
        <v>337</v>
      </c>
      <c r="H264" t="s">
        <v>347</v>
      </c>
      <c r="I264">
        <v>17</v>
      </c>
      <c r="J264">
        <v>41293</v>
      </c>
    </row>
    <row r="265" spans="1:10" x14ac:dyDescent="0.3">
      <c r="A265" t="s">
        <v>270</v>
      </c>
      <c r="B265" t="s">
        <v>627</v>
      </c>
      <c r="C265" t="s">
        <v>313</v>
      </c>
      <c r="D265" t="s">
        <v>324</v>
      </c>
      <c r="E265" t="s">
        <v>327</v>
      </c>
      <c r="F265" t="s">
        <v>332</v>
      </c>
      <c r="G265" t="s">
        <v>335</v>
      </c>
      <c r="H265" t="s">
        <v>344</v>
      </c>
      <c r="I265">
        <v>9</v>
      </c>
      <c r="J265">
        <v>40432</v>
      </c>
    </row>
    <row r="266" spans="1:10" x14ac:dyDescent="0.3">
      <c r="A266" t="s">
        <v>271</v>
      </c>
      <c r="B266" t="s">
        <v>628</v>
      </c>
      <c r="C266" t="s">
        <v>310</v>
      </c>
      <c r="D266" t="s">
        <v>322</v>
      </c>
      <c r="E266" t="s">
        <v>326</v>
      </c>
      <c r="F266" t="s">
        <v>331</v>
      </c>
      <c r="G266" t="s">
        <v>334</v>
      </c>
      <c r="H266" t="s">
        <v>353</v>
      </c>
      <c r="I266">
        <v>8</v>
      </c>
      <c r="J266">
        <v>23775</v>
      </c>
    </row>
    <row r="267" spans="1:10" x14ac:dyDescent="0.3">
      <c r="A267" t="s">
        <v>272</v>
      </c>
      <c r="B267" s="25">
        <v>45392</v>
      </c>
      <c r="C267" t="s">
        <v>312</v>
      </c>
      <c r="D267" t="s">
        <v>321</v>
      </c>
      <c r="E267" t="s">
        <v>327</v>
      </c>
      <c r="F267" t="s">
        <v>333</v>
      </c>
      <c r="G267" t="s">
        <v>337</v>
      </c>
      <c r="H267" t="s">
        <v>347</v>
      </c>
      <c r="I267">
        <v>5</v>
      </c>
      <c r="J267">
        <v>14798</v>
      </c>
    </row>
    <row r="268" spans="1:10" x14ac:dyDescent="0.3">
      <c r="A268" t="s">
        <v>273</v>
      </c>
      <c r="B268" s="25">
        <v>45408</v>
      </c>
      <c r="C268" t="s">
        <v>313</v>
      </c>
      <c r="D268" t="s">
        <v>319</v>
      </c>
      <c r="E268" t="s">
        <v>327</v>
      </c>
      <c r="F268" t="s">
        <v>333</v>
      </c>
      <c r="G268" t="s">
        <v>342</v>
      </c>
      <c r="H268" t="s">
        <v>352</v>
      </c>
      <c r="I268">
        <v>10</v>
      </c>
      <c r="J268">
        <v>37778</v>
      </c>
    </row>
    <row r="269" spans="1:10" x14ac:dyDescent="0.3">
      <c r="A269" t="s">
        <v>274</v>
      </c>
      <c r="B269" t="s">
        <v>629</v>
      </c>
      <c r="C269" t="s">
        <v>311</v>
      </c>
      <c r="D269" t="s">
        <v>413</v>
      </c>
      <c r="E269" t="s">
        <v>328</v>
      </c>
      <c r="F269" t="s">
        <v>332</v>
      </c>
      <c r="G269" t="s">
        <v>336</v>
      </c>
      <c r="H269" t="s">
        <v>346</v>
      </c>
      <c r="I269">
        <v>12</v>
      </c>
      <c r="J269">
        <v>13010</v>
      </c>
    </row>
    <row r="270" spans="1:10" x14ac:dyDescent="0.3">
      <c r="A270" t="s">
        <v>275</v>
      </c>
      <c r="B270" t="s">
        <v>630</v>
      </c>
      <c r="C270" t="s">
        <v>311</v>
      </c>
      <c r="D270" t="s">
        <v>315</v>
      </c>
      <c r="E270" t="s">
        <v>330</v>
      </c>
      <c r="F270" t="s">
        <v>333</v>
      </c>
      <c r="G270" t="s">
        <v>342</v>
      </c>
      <c r="H270" t="s">
        <v>352</v>
      </c>
      <c r="I270">
        <v>7</v>
      </c>
      <c r="J270">
        <v>1589</v>
      </c>
    </row>
    <row r="271" spans="1:10" x14ac:dyDescent="0.3">
      <c r="A271" t="s">
        <v>276</v>
      </c>
      <c r="B271" t="s">
        <v>631</v>
      </c>
      <c r="C271" t="s">
        <v>310</v>
      </c>
      <c r="D271" t="s">
        <v>320</v>
      </c>
      <c r="E271" t="s">
        <v>327</v>
      </c>
      <c r="F271" t="s">
        <v>333</v>
      </c>
      <c r="G271" t="s">
        <v>342</v>
      </c>
      <c r="H271" t="s">
        <v>352</v>
      </c>
      <c r="I271">
        <v>20</v>
      </c>
      <c r="J271">
        <v>15753</v>
      </c>
    </row>
    <row r="272" spans="1:10" x14ac:dyDescent="0.3">
      <c r="A272" t="s">
        <v>277</v>
      </c>
      <c r="B272" t="s">
        <v>632</v>
      </c>
      <c r="C272" t="s">
        <v>310</v>
      </c>
      <c r="D272" t="s">
        <v>322</v>
      </c>
      <c r="E272" t="s">
        <v>329</v>
      </c>
      <c r="F272" t="s">
        <v>333</v>
      </c>
      <c r="G272" t="s">
        <v>337</v>
      </c>
      <c r="H272" t="s">
        <v>347</v>
      </c>
      <c r="I272">
        <v>6</v>
      </c>
      <c r="J272" t="s">
        <v>633</v>
      </c>
    </row>
    <row r="273" spans="1:10" x14ac:dyDescent="0.3">
      <c r="A273" t="s">
        <v>278</v>
      </c>
      <c r="B273" t="s">
        <v>634</v>
      </c>
      <c r="C273" t="s">
        <v>312</v>
      </c>
      <c r="D273" t="s">
        <v>321</v>
      </c>
      <c r="E273" t="s">
        <v>329</v>
      </c>
      <c r="F273" t="s">
        <v>333</v>
      </c>
      <c r="G273" t="s">
        <v>338</v>
      </c>
      <c r="H273" t="s">
        <v>354</v>
      </c>
      <c r="I273">
        <v>16</v>
      </c>
      <c r="J273">
        <v>36845</v>
      </c>
    </row>
    <row r="274" spans="1:10" x14ac:dyDescent="0.3">
      <c r="A274" t="s">
        <v>279</v>
      </c>
      <c r="B274" t="s">
        <v>635</v>
      </c>
      <c r="C274" t="s">
        <v>313</v>
      </c>
      <c r="D274" t="s">
        <v>323</v>
      </c>
      <c r="F274" t="s">
        <v>333</v>
      </c>
      <c r="G274" t="s">
        <v>342</v>
      </c>
      <c r="H274" t="s">
        <v>355</v>
      </c>
      <c r="I274">
        <v>10</v>
      </c>
      <c r="J274">
        <v>39856</v>
      </c>
    </row>
    <row r="275" spans="1:10" x14ac:dyDescent="0.3">
      <c r="A275" t="s">
        <v>280</v>
      </c>
      <c r="B275" s="25">
        <v>45504</v>
      </c>
      <c r="C275" t="s">
        <v>313</v>
      </c>
      <c r="D275" t="s">
        <v>319</v>
      </c>
      <c r="E275" t="s">
        <v>327</v>
      </c>
      <c r="F275" t="s">
        <v>331</v>
      </c>
      <c r="G275" t="s">
        <v>334</v>
      </c>
      <c r="H275" t="s">
        <v>353</v>
      </c>
      <c r="I275">
        <v>9</v>
      </c>
      <c r="J275">
        <v>4324</v>
      </c>
    </row>
    <row r="276" spans="1:10" x14ac:dyDescent="0.3">
      <c r="A276" t="s">
        <v>281</v>
      </c>
      <c r="B276" t="s">
        <v>636</v>
      </c>
      <c r="C276" t="s">
        <v>313</v>
      </c>
      <c r="D276" t="s">
        <v>323</v>
      </c>
      <c r="E276" t="s">
        <v>329</v>
      </c>
      <c r="F276" t="s">
        <v>331</v>
      </c>
      <c r="G276" t="s">
        <v>334</v>
      </c>
      <c r="H276" t="s">
        <v>343</v>
      </c>
      <c r="I276">
        <v>9</v>
      </c>
      <c r="J276">
        <v>20268</v>
      </c>
    </row>
    <row r="277" spans="1:10" x14ac:dyDescent="0.3">
      <c r="A277" t="s">
        <v>282</v>
      </c>
      <c r="B277" t="s">
        <v>637</v>
      </c>
      <c r="C277" t="s">
        <v>311</v>
      </c>
      <c r="D277" t="s">
        <v>316</v>
      </c>
      <c r="E277" t="s">
        <v>329</v>
      </c>
      <c r="F277" t="s">
        <v>331</v>
      </c>
      <c r="G277" t="s">
        <v>334</v>
      </c>
      <c r="H277" t="s">
        <v>343</v>
      </c>
      <c r="I277">
        <v>2</v>
      </c>
      <c r="J277">
        <v>7789</v>
      </c>
    </row>
    <row r="278" spans="1:10" x14ac:dyDescent="0.3">
      <c r="A278" t="s">
        <v>283</v>
      </c>
      <c r="B278" t="s">
        <v>638</v>
      </c>
      <c r="C278" t="s">
        <v>311</v>
      </c>
      <c r="D278" t="s">
        <v>316</v>
      </c>
      <c r="E278" t="s">
        <v>328</v>
      </c>
      <c r="F278" t="s">
        <v>332</v>
      </c>
      <c r="G278" t="s">
        <v>335</v>
      </c>
      <c r="H278" t="s">
        <v>345</v>
      </c>
      <c r="I278">
        <v>16</v>
      </c>
      <c r="J278" t="s">
        <v>639</v>
      </c>
    </row>
    <row r="279" spans="1:10" x14ac:dyDescent="0.3">
      <c r="A279" t="s">
        <v>284</v>
      </c>
      <c r="B279" t="s">
        <v>640</v>
      </c>
      <c r="C279" t="s">
        <v>363</v>
      </c>
      <c r="D279" t="s">
        <v>641</v>
      </c>
      <c r="E279" t="s">
        <v>330</v>
      </c>
      <c r="F279" t="s">
        <v>333</v>
      </c>
      <c r="G279" t="s">
        <v>337</v>
      </c>
      <c r="H279" t="s">
        <v>347</v>
      </c>
      <c r="I279">
        <v>12</v>
      </c>
      <c r="J279">
        <v>6399</v>
      </c>
    </row>
    <row r="280" spans="1:10" x14ac:dyDescent="0.3">
      <c r="A280" t="s">
        <v>285</v>
      </c>
      <c r="B280" t="s">
        <v>642</v>
      </c>
      <c r="C280" t="s">
        <v>311</v>
      </c>
      <c r="D280" t="s">
        <v>316</v>
      </c>
      <c r="E280" t="s">
        <v>326</v>
      </c>
      <c r="F280" t="s">
        <v>332</v>
      </c>
      <c r="G280" t="s">
        <v>336</v>
      </c>
      <c r="H280" t="s">
        <v>346</v>
      </c>
      <c r="I280">
        <v>5</v>
      </c>
      <c r="J280">
        <v>31731</v>
      </c>
    </row>
    <row r="281" spans="1:10" x14ac:dyDescent="0.3">
      <c r="A281" t="s">
        <v>286</v>
      </c>
      <c r="B281" t="s">
        <v>643</v>
      </c>
      <c r="C281" t="s">
        <v>310</v>
      </c>
      <c r="D281" t="s">
        <v>322</v>
      </c>
      <c r="E281" t="s">
        <v>327</v>
      </c>
      <c r="F281" t="s">
        <v>332</v>
      </c>
      <c r="G281" t="s">
        <v>336</v>
      </c>
      <c r="H281" t="s">
        <v>346</v>
      </c>
      <c r="I281">
        <v>2</v>
      </c>
      <c r="J281">
        <v>34236</v>
      </c>
    </row>
    <row r="282" spans="1:10" x14ac:dyDescent="0.3">
      <c r="A282" t="s">
        <v>287</v>
      </c>
      <c r="B282" t="s">
        <v>644</v>
      </c>
      <c r="C282" t="s">
        <v>311</v>
      </c>
      <c r="D282" t="s">
        <v>318</v>
      </c>
      <c r="E282" t="s">
        <v>330</v>
      </c>
      <c r="F282" t="s">
        <v>333</v>
      </c>
      <c r="G282" t="s">
        <v>337</v>
      </c>
      <c r="H282" t="s">
        <v>347</v>
      </c>
      <c r="I282">
        <v>19</v>
      </c>
      <c r="J282">
        <v>46614</v>
      </c>
    </row>
    <row r="283" spans="1:10" x14ac:dyDescent="0.3">
      <c r="A283" t="s">
        <v>288</v>
      </c>
      <c r="B283" t="s">
        <v>645</v>
      </c>
      <c r="C283" t="s">
        <v>311</v>
      </c>
      <c r="D283" t="s">
        <v>316</v>
      </c>
      <c r="E283" t="s">
        <v>326</v>
      </c>
      <c r="F283" t="s">
        <v>331</v>
      </c>
      <c r="G283" t="s">
        <v>334</v>
      </c>
      <c r="H283" t="s">
        <v>359</v>
      </c>
      <c r="I283">
        <v>6</v>
      </c>
      <c r="J283">
        <v>39087</v>
      </c>
    </row>
    <row r="285" spans="1:10" x14ac:dyDescent="0.3">
      <c r="A285" t="s">
        <v>289</v>
      </c>
      <c r="B285" t="s">
        <v>646</v>
      </c>
      <c r="C285" t="s">
        <v>313</v>
      </c>
      <c r="D285" t="s">
        <v>323</v>
      </c>
      <c r="E285" t="s">
        <v>330</v>
      </c>
      <c r="F285" t="s">
        <v>332</v>
      </c>
      <c r="G285" t="s">
        <v>340</v>
      </c>
      <c r="H285" t="s">
        <v>350</v>
      </c>
      <c r="I285">
        <v>18</v>
      </c>
      <c r="J285">
        <v>20096</v>
      </c>
    </row>
    <row r="286" spans="1:10" x14ac:dyDescent="0.3">
      <c r="A286" t="s">
        <v>290</v>
      </c>
      <c r="B286" t="s">
        <v>647</v>
      </c>
      <c r="C286" t="s">
        <v>312</v>
      </c>
      <c r="D286" t="s">
        <v>317</v>
      </c>
      <c r="E286" t="s">
        <v>326</v>
      </c>
      <c r="F286" t="s">
        <v>333</v>
      </c>
      <c r="G286" t="s">
        <v>342</v>
      </c>
      <c r="H286" t="s">
        <v>352</v>
      </c>
      <c r="I286">
        <v>2</v>
      </c>
      <c r="J286">
        <v>24059</v>
      </c>
    </row>
    <row r="287" spans="1:10" x14ac:dyDescent="0.3">
      <c r="A287" t="s">
        <v>291</v>
      </c>
      <c r="B287" s="25">
        <v>45296</v>
      </c>
      <c r="C287" t="s">
        <v>313</v>
      </c>
      <c r="D287" t="s">
        <v>323</v>
      </c>
      <c r="E287" t="s">
        <v>328</v>
      </c>
      <c r="F287" t="s">
        <v>332</v>
      </c>
      <c r="G287" t="s">
        <v>340</v>
      </c>
      <c r="H287" t="s">
        <v>350</v>
      </c>
      <c r="I287">
        <v>8</v>
      </c>
      <c r="J287">
        <v>40140</v>
      </c>
    </row>
    <row r="288" spans="1:10" x14ac:dyDescent="0.3">
      <c r="A288" t="s">
        <v>292</v>
      </c>
      <c r="B288" t="s">
        <v>648</v>
      </c>
      <c r="C288" t="s">
        <v>481</v>
      </c>
      <c r="D288" t="s">
        <v>317</v>
      </c>
      <c r="E288" t="s">
        <v>326</v>
      </c>
      <c r="F288" t="s">
        <v>332</v>
      </c>
      <c r="G288" t="s">
        <v>335</v>
      </c>
      <c r="H288" t="s">
        <v>344</v>
      </c>
      <c r="I288">
        <v>4</v>
      </c>
      <c r="J288">
        <v>20831</v>
      </c>
    </row>
    <row r="289" spans="1:10" x14ac:dyDescent="0.3">
      <c r="A289" t="s">
        <v>293</v>
      </c>
      <c r="C289" t="s">
        <v>313</v>
      </c>
      <c r="D289" t="s">
        <v>323</v>
      </c>
      <c r="F289" t="s">
        <v>331</v>
      </c>
      <c r="G289" t="s">
        <v>334</v>
      </c>
      <c r="H289" t="s">
        <v>343</v>
      </c>
      <c r="I289">
        <v>17</v>
      </c>
      <c r="J289">
        <v>20395</v>
      </c>
    </row>
    <row r="290" spans="1:10" x14ac:dyDescent="0.3">
      <c r="A290" t="s">
        <v>294</v>
      </c>
      <c r="B290" t="s">
        <v>601</v>
      </c>
      <c r="C290" t="s">
        <v>310</v>
      </c>
      <c r="D290" t="s">
        <v>649</v>
      </c>
      <c r="E290" t="s">
        <v>328</v>
      </c>
      <c r="F290" t="s">
        <v>332</v>
      </c>
      <c r="G290" t="s">
        <v>340</v>
      </c>
      <c r="H290" t="s">
        <v>350</v>
      </c>
      <c r="I290">
        <v>18</v>
      </c>
      <c r="J290">
        <v>20587</v>
      </c>
    </row>
    <row r="291" spans="1:10" x14ac:dyDescent="0.3">
      <c r="A291" t="s">
        <v>295</v>
      </c>
      <c r="B291" t="s">
        <v>650</v>
      </c>
      <c r="C291" t="s">
        <v>310</v>
      </c>
      <c r="D291" t="s">
        <v>314</v>
      </c>
      <c r="E291" t="s">
        <v>330</v>
      </c>
      <c r="F291" t="s">
        <v>332</v>
      </c>
      <c r="G291" t="s">
        <v>336</v>
      </c>
      <c r="H291" t="s">
        <v>346</v>
      </c>
      <c r="I291">
        <v>10</v>
      </c>
      <c r="J291">
        <v>44337</v>
      </c>
    </row>
    <row r="292" spans="1:10" x14ac:dyDescent="0.3">
      <c r="A292" t="s">
        <v>296</v>
      </c>
      <c r="B292" s="25">
        <v>45509</v>
      </c>
      <c r="C292" t="s">
        <v>310</v>
      </c>
      <c r="D292" t="s">
        <v>314</v>
      </c>
      <c r="E292" t="s">
        <v>326</v>
      </c>
      <c r="F292" t="s">
        <v>331</v>
      </c>
      <c r="G292" t="s">
        <v>334</v>
      </c>
      <c r="H292" t="s">
        <v>343</v>
      </c>
      <c r="I292">
        <v>17</v>
      </c>
      <c r="J292">
        <v>48342</v>
      </c>
    </row>
    <row r="293" spans="1:10" x14ac:dyDescent="0.3">
      <c r="A293" t="s">
        <v>297</v>
      </c>
      <c r="B293" s="25">
        <v>45478</v>
      </c>
      <c r="C293" t="s">
        <v>651</v>
      </c>
      <c r="D293" t="s">
        <v>314</v>
      </c>
      <c r="E293" t="s">
        <v>330</v>
      </c>
      <c r="F293" t="s">
        <v>333</v>
      </c>
      <c r="G293" t="s">
        <v>338</v>
      </c>
      <c r="H293" t="s">
        <v>348</v>
      </c>
      <c r="I293">
        <v>2</v>
      </c>
      <c r="J293">
        <v>5781</v>
      </c>
    </row>
    <row r="294" spans="1:10" x14ac:dyDescent="0.3">
      <c r="A294" t="s">
        <v>298</v>
      </c>
      <c r="B294" t="s">
        <v>652</v>
      </c>
      <c r="C294" t="s">
        <v>312</v>
      </c>
      <c r="D294" t="s">
        <v>321</v>
      </c>
      <c r="E294" t="s">
        <v>326</v>
      </c>
      <c r="F294" t="s">
        <v>332</v>
      </c>
      <c r="G294" t="s">
        <v>340</v>
      </c>
      <c r="H294" t="s">
        <v>350</v>
      </c>
      <c r="I294">
        <v>6</v>
      </c>
      <c r="J294">
        <v>31331</v>
      </c>
    </row>
    <row r="295" spans="1:10" x14ac:dyDescent="0.3">
      <c r="A295" t="s">
        <v>299</v>
      </c>
      <c r="B295" s="25">
        <v>45594</v>
      </c>
      <c r="C295" t="s">
        <v>311</v>
      </c>
      <c r="D295" t="s">
        <v>318</v>
      </c>
      <c r="E295" t="s">
        <v>326</v>
      </c>
      <c r="F295" t="s">
        <v>332</v>
      </c>
      <c r="G295" t="s">
        <v>335</v>
      </c>
      <c r="H295" t="s">
        <v>344</v>
      </c>
      <c r="I295">
        <v>16</v>
      </c>
      <c r="J295">
        <v>25741</v>
      </c>
    </row>
    <row r="296" spans="1:10" x14ac:dyDescent="0.3">
      <c r="A296" t="s">
        <v>300</v>
      </c>
      <c r="B296" t="s">
        <v>653</v>
      </c>
      <c r="C296" t="s">
        <v>313</v>
      </c>
      <c r="D296" t="s">
        <v>324</v>
      </c>
      <c r="E296" t="s">
        <v>327</v>
      </c>
      <c r="F296" t="s">
        <v>331</v>
      </c>
      <c r="G296" t="s">
        <v>341</v>
      </c>
      <c r="H296" t="s">
        <v>351</v>
      </c>
      <c r="I296">
        <v>18</v>
      </c>
      <c r="J296">
        <v>4168</v>
      </c>
    </row>
    <row r="297" spans="1:10" x14ac:dyDescent="0.3">
      <c r="A297" t="s">
        <v>301</v>
      </c>
      <c r="B297" s="25">
        <v>45518</v>
      </c>
      <c r="C297" t="s">
        <v>312</v>
      </c>
      <c r="D297" t="s">
        <v>325</v>
      </c>
      <c r="E297" t="s">
        <v>329</v>
      </c>
      <c r="F297" t="s">
        <v>331</v>
      </c>
      <c r="G297" t="s">
        <v>334</v>
      </c>
      <c r="H297" t="s">
        <v>353</v>
      </c>
      <c r="I297">
        <v>4</v>
      </c>
      <c r="J297">
        <v>25649</v>
      </c>
    </row>
    <row r="298" spans="1:10" x14ac:dyDescent="0.3">
      <c r="A298" t="s">
        <v>302</v>
      </c>
      <c r="B298" s="25">
        <v>45530</v>
      </c>
      <c r="C298" t="s">
        <v>427</v>
      </c>
      <c r="D298" t="s">
        <v>325</v>
      </c>
      <c r="E298" t="s">
        <v>329</v>
      </c>
      <c r="F298" t="s">
        <v>333</v>
      </c>
      <c r="G298" t="s">
        <v>338</v>
      </c>
      <c r="H298" t="s">
        <v>348</v>
      </c>
      <c r="I298">
        <v>17</v>
      </c>
      <c r="J298">
        <v>6493</v>
      </c>
    </row>
    <row r="299" spans="1:10" x14ac:dyDescent="0.3">
      <c r="A299" t="s">
        <v>303</v>
      </c>
      <c r="B299" t="s">
        <v>654</v>
      </c>
      <c r="C299" t="s">
        <v>310</v>
      </c>
      <c r="D299" t="s">
        <v>320</v>
      </c>
      <c r="E299" t="s">
        <v>330</v>
      </c>
      <c r="F299" t="s">
        <v>332</v>
      </c>
      <c r="G299" t="s">
        <v>340</v>
      </c>
      <c r="H299" t="s">
        <v>350</v>
      </c>
      <c r="I299">
        <v>11</v>
      </c>
      <c r="J299">
        <v>9765</v>
      </c>
    </row>
    <row r="300" spans="1:10" x14ac:dyDescent="0.3">
      <c r="A300" t="s">
        <v>304</v>
      </c>
      <c r="B300" t="s">
        <v>655</v>
      </c>
      <c r="C300" t="s">
        <v>313</v>
      </c>
      <c r="D300" t="s">
        <v>323</v>
      </c>
      <c r="E300" t="s">
        <v>326</v>
      </c>
      <c r="F300" t="s">
        <v>332</v>
      </c>
      <c r="G300" t="s">
        <v>335</v>
      </c>
      <c r="H300" t="s">
        <v>344</v>
      </c>
      <c r="I300">
        <v>5</v>
      </c>
      <c r="J300">
        <v>6976</v>
      </c>
    </row>
    <row r="301" spans="1:10" x14ac:dyDescent="0.3">
      <c r="A301" t="s">
        <v>305</v>
      </c>
      <c r="B301" s="25">
        <v>45483</v>
      </c>
      <c r="D301" t="s">
        <v>317</v>
      </c>
      <c r="E301" t="s">
        <v>328</v>
      </c>
      <c r="F301" t="s">
        <v>331</v>
      </c>
      <c r="G301" t="s">
        <v>334</v>
      </c>
      <c r="H301" t="s">
        <v>343</v>
      </c>
      <c r="I301">
        <v>11</v>
      </c>
      <c r="J301">
        <v>18558</v>
      </c>
    </row>
    <row r="302" spans="1:10" x14ac:dyDescent="0.3">
      <c r="A302" t="s">
        <v>306</v>
      </c>
      <c r="B302" s="25">
        <v>45446</v>
      </c>
      <c r="C302" t="s">
        <v>311</v>
      </c>
      <c r="D302" t="s">
        <v>315</v>
      </c>
      <c r="E302" t="s">
        <v>329</v>
      </c>
      <c r="F302" t="s">
        <v>333</v>
      </c>
      <c r="G302" t="s">
        <v>338</v>
      </c>
      <c r="H302" t="s">
        <v>348</v>
      </c>
      <c r="I302">
        <v>19</v>
      </c>
      <c r="J302">
        <v>25560</v>
      </c>
    </row>
    <row r="303" spans="1:10" x14ac:dyDescent="0.3">
      <c r="A303" t="s">
        <v>307</v>
      </c>
      <c r="B303" t="s">
        <v>656</v>
      </c>
      <c r="C303" t="s">
        <v>313</v>
      </c>
      <c r="D303" t="s">
        <v>324</v>
      </c>
      <c r="E303" t="s">
        <v>326</v>
      </c>
      <c r="F303" t="s">
        <v>331</v>
      </c>
      <c r="G303" t="s">
        <v>339</v>
      </c>
      <c r="H303" t="s">
        <v>356</v>
      </c>
      <c r="I303">
        <v>5</v>
      </c>
      <c r="J303">
        <v>30263</v>
      </c>
    </row>
    <row r="304" spans="1:10" x14ac:dyDescent="0.3">
      <c r="A304" t="s">
        <v>308</v>
      </c>
      <c r="B304" t="s">
        <v>657</v>
      </c>
      <c r="C304" t="s">
        <v>312</v>
      </c>
      <c r="D304" t="s">
        <v>325</v>
      </c>
      <c r="E304" t="s">
        <v>326</v>
      </c>
      <c r="F304" t="s">
        <v>331</v>
      </c>
      <c r="G304" t="s">
        <v>341</v>
      </c>
      <c r="H304" t="s">
        <v>351</v>
      </c>
      <c r="I304">
        <v>18</v>
      </c>
      <c r="J304">
        <v>41847</v>
      </c>
    </row>
    <row r="305" spans="1:10" x14ac:dyDescent="0.3">
      <c r="A305" t="s">
        <v>309</v>
      </c>
      <c r="B305" t="s">
        <v>640</v>
      </c>
      <c r="D305" t="s">
        <v>319</v>
      </c>
      <c r="E305" t="s">
        <v>326</v>
      </c>
      <c r="F305" t="s">
        <v>332</v>
      </c>
      <c r="G305" t="s">
        <v>340</v>
      </c>
      <c r="H305" t="s">
        <v>350</v>
      </c>
      <c r="I305">
        <v>13</v>
      </c>
      <c r="J305">
        <v>35344</v>
      </c>
    </row>
    <row r="306" spans="1:10" x14ac:dyDescent="0.3">
      <c r="A306" t="s">
        <v>20</v>
      </c>
      <c r="B306" t="s">
        <v>422</v>
      </c>
      <c r="C306" t="s">
        <v>311</v>
      </c>
      <c r="D306" t="s">
        <v>423</v>
      </c>
      <c r="E306" t="s">
        <v>327</v>
      </c>
      <c r="F306" t="s">
        <v>331</v>
      </c>
      <c r="G306" t="s">
        <v>339</v>
      </c>
      <c r="H306" t="s">
        <v>349</v>
      </c>
      <c r="I306" t="s">
        <v>424</v>
      </c>
      <c r="J306">
        <v>35564</v>
      </c>
    </row>
    <row r="307" spans="1:10" x14ac:dyDescent="0.3">
      <c r="A307" t="s">
        <v>35</v>
      </c>
      <c r="B307" s="25">
        <v>45583</v>
      </c>
      <c r="C307" t="s">
        <v>310</v>
      </c>
      <c r="D307" t="s">
        <v>322</v>
      </c>
      <c r="E307" t="s">
        <v>326</v>
      </c>
      <c r="F307" t="s">
        <v>332</v>
      </c>
      <c r="G307" t="s">
        <v>335</v>
      </c>
      <c r="H307" t="s">
        <v>344</v>
      </c>
      <c r="I307">
        <v>6</v>
      </c>
      <c r="J307">
        <v>46338</v>
      </c>
    </row>
    <row r="308" spans="1:10" x14ac:dyDescent="0.3">
      <c r="A308" t="s">
        <v>52</v>
      </c>
      <c r="B308" s="25">
        <v>45569</v>
      </c>
      <c r="C308" t="s">
        <v>311</v>
      </c>
      <c r="D308" t="s">
        <v>318</v>
      </c>
      <c r="E308" t="s">
        <v>330</v>
      </c>
      <c r="F308" t="s">
        <v>333</v>
      </c>
      <c r="G308" t="s">
        <v>338</v>
      </c>
      <c r="H308" t="s">
        <v>354</v>
      </c>
      <c r="I308">
        <v>10</v>
      </c>
      <c r="J308">
        <v>13255</v>
      </c>
    </row>
    <row r="309" spans="1:10" x14ac:dyDescent="0.3">
      <c r="A309" t="s">
        <v>77</v>
      </c>
      <c r="B309" t="s">
        <v>471</v>
      </c>
      <c r="C309" t="s">
        <v>310</v>
      </c>
      <c r="D309" t="s">
        <v>320</v>
      </c>
      <c r="E309" t="s">
        <v>326</v>
      </c>
      <c r="F309" t="s">
        <v>333</v>
      </c>
      <c r="G309" t="s">
        <v>337</v>
      </c>
      <c r="H309" t="s">
        <v>347</v>
      </c>
      <c r="I309">
        <v>6</v>
      </c>
      <c r="J309">
        <v>35941</v>
      </c>
    </row>
    <row r="310" spans="1:10" x14ac:dyDescent="0.3">
      <c r="A310" t="s">
        <v>98</v>
      </c>
      <c r="B310" t="s">
        <v>491</v>
      </c>
      <c r="C310" t="s">
        <v>312</v>
      </c>
      <c r="D310" t="s">
        <v>325</v>
      </c>
      <c r="E310" t="s">
        <v>327</v>
      </c>
      <c r="F310" t="s">
        <v>331</v>
      </c>
      <c r="G310" t="s">
        <v>341</v>
      </c>
      <c r="H310" t="s">
        <v>351</v>
      </c>
      <c r="I310" t="s">
        <v>492</v>
      </c>
      <c r="J310">
        <v>26218</v>
      </c>
    </row>
    <row r="312" spans="1:10" x14ac:dyDescent="0.3">
      <c r="A312" t="s">
        <v>120</v>
      </c>
      <c r="B312" s="25">
        <v>45314</v>
      </c>
      <c r="C312" t="s">
        <v>312</v>
      </c>
      <c r="D312" t="s">
        <v>317</v>
      </c>
      <c r="E312" t="s">
        <v>329</v>
      </c>
      <c r="F312" t="s">
        <v>333</v>
      </c>
      <c r="G312" t="s">
        <v>342</v>
      </c>
      <c r="H312" t="s">
        <v>352</v>
      </c>
      <c r="I312">
        <v>18</v>
      </c>
      <c r="J312">
        <v>20755</v>
      </c>
    </row>
    <row r="313" spans="1:10" x14ac:dyDescent="0.3">
      <c r="A313" t="s">
        <v>155</v>
      </c>
      <c r="B313" t="s">
        <v>536</v>
      </c>
      <c r="C313" t="s">
        <v>310</v>
      </c>
      <c r="D313" t="s">
        <v>314</v>
      </c>
      <c r="E313" t="s">
        <v>330</v>
      </c>
      <c r="F313" t="s">
        <v>332</v>
      </c>
      <c r="G313" t="s">
        <v>336</v>
      </c>
      <c r="H313" t="s">
        <v>346</v>
      </c>
      <c r="I313">
        <v>2</v>
      </c>
      <c r="J313">
        <v>33226</v>
      </c>
    </row>
    <row r="314" spans="1:10" x14ac:dyDescent="0.3">
      <c r="A314" t="s">
        <v>180</v>
      </c>
      <c r="B314" t="s">
        <v>554</v>
      </c>
      <c r="C314" t="s">
        <v>310</v>
      </c>
      <c r="D314" t="s">
        <v>322</v>
      </c>
      <c r="E314" t="s">
        <v>330</v>
      </c>
      <c r="F314" t="s">
        <v>333</v>
      </c>
      <c r="G314" t="s">
        <v>337</v>
      </c>
      <c r="H314" t="s">
        <v>347</v>
      </c>
      <c r="I314">
        <v>18</v>
      </c>
      <c r="J314">
        <v>42322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MIS_Report</vt:lpstr>
      <vt:lpstr>cleaned_data</vt:lpstr>
      <vt:lpstr>Region_Revenue</vt:lpstr>
      <vt:lpstr>Month_Trend</vt:lpstr>
      <vt:lpstr>Category_Revenue</vt:lpstr>
      <vt:lpstr>Salesperson_Performance</vt:lpstr>
      <vt:lpstr>Quarter_Summary</vt:lpstr>
      <vt:lpstr>Order_LOOKUP_Tool</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LENTHAM</dc:creator>
  <cp:lastModifiedBy>Amit Lentham</cp:lastModifiedBy>
  <dcterms:created xsi:type="dcterms:W3CDTF">2026-03-11T06:46:09Z</dcterms:created>
  <dcterms:modified xsi:type="dcterms:W3CDTF">2026-07-13T07:31:07Z</dcterms:modified>
</cp:coreProperties>
</file>